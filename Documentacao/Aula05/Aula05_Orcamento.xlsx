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rçamento FieldOps" sheetId="1" state="visible" r:id="rId3"/>
    <sheet name="Fonte e Metodologia" sheetId="2" state="visible" r:id="rId4"/>
    <sheet name="Instruções" sheetId="3" state="visible" r:id="rId5"/>
  </sheets>
  <definedNames>
    <definedName function="false" hidden="false" localSheetId="0" name="_xlnm.Print_Titles" vbProcedure="false">'Orçamento FieldOps'!$1:$9</definedName>
    <definedName function="false" hidden="true" localSheetId="0" name="_xlnm._FilterDatabase" vbProcedure="false">'Orçamento FieldOps'!$A$9:$H$157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<sst xmlns="http://schemas.openxmlformats.org/spreadsheetml/2006/main" count="317" uniqueCount="254">
  <si>
    <t xml:space="preserve">FIELDOPS — ORÇAMENTO DETALHADO DE IMPLANTAÇÃO</t>
  </si>
  <si>
    <t xml:space="preserve">FONTE DOS VALORES: Ge, C.; Kankanhalli, A.; Huang, K.-W. (2015), "Investigating the Determinants of Starting Salary of IT Graduates", ACM SIGMIS Database 46(4), 9–25. DOI: 10.1145/2843824.2843826. Valores derivados do salário inicial de graduados de TI da base do estudo; metodologia detalhada na aba 'Fonte e Metodologia'.</t>
  </si>
  <si>
    <t xml:space="preserve">PARÂMETROS DE CUSTO — valores/hora editáveis</t>
  </si>
  <si>
    <t xml:space="preserve">Profissional</t>
  </si>
  <si>
    <t xml:space="preserve">Valor/Hora</t>
  </si>
  <si>
    <t xml:space="preserve">Implantador</t>
  </si>
  <si>
    <t xml:space="preserve">Coordenador</t>
  </si>
  <si>
    <t xml:space="preserve">Documentador</t>
  </si>
  <si>
    <t xml:space="preserve">Base de cálculo: salário inicial de graduados de TI da publicação Ge et al. (2015), convertido para BRL e hora de referência; o fator de 1,5× do Coordenador é uma premissa de projeto, explicitada na aba 'Fonte e Metodologia'.</t>
  </si>
  <si>
    <t xml:space="preserve">Item/Atividade</t>
  </si>
  <si>
    <t xml:space="preserve">Implantador
(Horas)</t>
  </si>
  <si>
    <t xml:space="preserve">Coordenador de Implantação
(Horas)</t>
  </si>
  <si>
    <t xml:space="preserve">Documentador
(Horas)</t>
  </si>
  <si>
    <t xml:space="preserve">Custos Adicionais
- R$</t>
  </si>
  <si>
    <t xml:space="preserve">Origem</t>
  </si>
  <si>
    <t xml:space="preserve">Total Geral
- R$</t>
  </si>
  <si>
    <t xml:space="preserve">Etapa / Subetapa</t>
  </si>
  <si>
    <t xml:space="preserve">1. Planejamento e Documentação</t>
  </si>
  <si>
    <t xml:space="preserve">1.1 Visão e Escopo</t>
  </si>
  <si>
    <t xml:space="preserve">Definir visão do produto</t>
  </si>
  <si>
    <t xml:space="preserve">1. Planejamento e Documentação | 1.1 Visão e Escopo</t>
  </si>
  <si>
    <t xml:space="preserve">Definir componentes da solução</t>
  </si>
  <si>
    <t xml:space="preserve">Definir escopo do produto</t>
  </si>
  <si>
    <t xml:space="preserve">Definir escopo do MVP</t>
  </si>
  <si>
    <t xml:space="preserve">Definir itens fora do escopo e premissas</t>
  </si>
  <si>
    <t xml:space="preserve">Totais (1.1 Visão e Escopo)</t>
  </si>
  <si>
    <t xml:space="preserve">1.2 Fluxo e Artefatos</t>
  </si>
  <si>
    <t xml:space="preserve">Documentar fluxo principal da inspeção</t>
  </si>
  <si>
    <t xml:space="preserve">1. Planejamento e Documentação | 1.2 Fluxo e Artefatos</t>
  </si>
  <si>
    <t xml:space="preserve">Organizar glossário do projeto</t>
  </si>
  <si>
    <t xml:space="preserve">Totais (1.2 Fluxo e Artefatos)</t>
  </si>
  <si>
    <t xml:space="preserve">2. Aplicativo Mobile</t>
  </si>
  <si>
    <t xml:space="preserve">2.1 Autenticação e Sessão</t>
  </si>
  <si>
    <t xml:space="preserve">Implementar autenticação</t>
  </si>
  <si>
    <t xml:space="preserve">2. Aplicativo Mobile | 2.1 Autenticação e Sessão</t>
  </si>
  <si>
    <t xml:space="preserve">Implementar gerenciamento de sessão</t>
  </si>
  <si>
    <t xml:space="preserve">Implementar controle de acesso do técnico</t>
  </si>
  <si>
    <t xml:space="preserve">Totais (2.1 Autenticação e Sessão)</t>
  </si>
  <si>
    <t xml:space="preserve">2.2 Execução de Inspeções</t>
  </si>
  <si>
    <t xml:space="preserve">Consultar inspeções atribuídas</t>
  </si>
  <si>
    <t xml:space="preserve">2. Aplicativo Mobile | 2.2 Execução de Inspeções</t>
  </si>
  <si>
    <t xml:space="preserve">Visualizar detalhes da inspeção</t>
  </si>
  <si>
    <t xml:space="preserve">Controlar status da inspeção</t>
  </si>
  <si>
    <t xml:space="preserve">Totais (2.2 Execução de Inspeções)</t>
  </si>
  <si>
    <t xml:space="preserve">2.3 QR Code</t>
  </si>
  <si>
    <t xml:space="preserve">Implementar leitura de QR Code</t>
  </si>
  <si>
    <t xml:space="preserve">2. Aplicativo Mobile | 2.3 QR Code</t>
  </si>
  <si>
    <t xml:space="preserve">Validar equipamento associado</t>
  </si>
  <si>
    <t xml:space="preserve">Totais (2.3 QR Code)</t>
  </si>
  <si>
    <t xml:space="preserve">2.4 Checklist e Evidências</t>
  </si>
  <si>
    <t xml:space="preserve">Implementar checklist dinâmico</t>
  </si>
  <si>
    <t xml:space="preserve">2. Aplicativo Mobile | 2.4 Checklist e Evidências</t>
  </si>
  <si>
    <t xml:space="preserve">Implementar tipos e validação de respostas</t>
  </si>
  <si>
    <t xml:space="preserve">Registrar fotografias</t>
  </si>
  <si>
    <t xml:space="preserve">Registrar observações e não conformidades</t>
  </si>
  <si>
    <t xml:space="preserve">Associar evidências aos itens da inspeção</t>
  </si>
  <si>
    <t xml:space="preserve">Totais (2.4 Checklist e Evidências)</t>
  </si>
  <si>
    <t xml:space="preserve">2.5 Localização e Offline</t>
  </si>
  <si>
    <t xml:space="preserve">Capturar e associar localização</t>
  </si>
  <si>
    <t xml:space="preserve">2. Aplicativo Mobile | 2.5 Localização e Offline</t>
  </si>
  <si>
    <t xml:space="preserve">Implementar persistência local</t>
  </si>
  <si>
    <t xml:space="preserve">Implementar funcionamento offline</t>
  </si>
  <si>
    <t xml:space="preserve">Implementar outbox e fila de operações</t>
  </si>
  <si>
    <t xml:space="preserve">Totais (2.5 Localização e Offline)</t>
  </si>
  <si>
    <t xml:space="preserve">2.6 Sincronização</t>
  </si>
  <si>
    <t xml:space="preserve">Implementar envio das alterações para a API</t>
  </si>
  <si>
    <t xml:space="preserve">2. Aplicativo Mobile | 2.6 Sincronização</t>
  </si>
  <si>
    <t xml:space="preserve">Tratar falhas de sincronização</t>
  </si>
  <si>
    <t xml:space="preserve">Atualizar status após sincronização</t>
  </si>
  <si>
    <t xml:space="preserve">Totais (2.6 Sincronização)</t>
  </si>
  <si>
    <t xml:space="preserve">3. Interface Administrativa Web</t>
  </si>
  <si>
    <t xml:space="preserve">3.1 Cadastros</t>
  </si>
  <si>
    <t xml:space="preserve">Implementar cadastro e gerenciamento de usuários</t>
  </si>
  <si>
    <t xml:space="preserve">3. Interface Administrativa Web | 3.1 Cadastros</t>
  </si>
  <si>
    <t xml:space="preserve">Implementar perfis de acesso</t>
  </si>
  <si>
    <t xml:space="preserve">Implementar cadastro de clientes</t>
  </si>
  <si>
    <t xml:space="preserve">Implementar cadastro de locais</t>
  </si>
  <si>
    <t xml:space="preserve">Implementar cadastro de equipamentos</t>
  </si>
  <si>
    <t xml:space="preserve">Totais (3.1 Cadastros)</t>
  </si>
  <si>
    <t xml:space="preserve">3.2 Modelos de Inspeção</t>
  </si>
  <si>
    <t xml:space="preserve">Criar e editar modelos de inspeção</t>
  </si>
  <si>
    <t xml:space="preserve">3. Interface Administrativa Web | 3.2 Modelos de Inspeção</t>
  </si>
  <si>
    <t xml:space="preserve">Estruturar seções e itens do checklist</t>
  </si>
  <si>
    <t xml:space="preserve">Configurar tipos de resposta</t>
  </si>
  <si>
    <t xml:space="preserve">Implementar versionamento dos modelos</t>
  </si>
  <si>
    <t xml:space="preserve">Totais (3.2 Modelos de Inspeção)</t>
  </si>
  <si>
    <t xml:space="preserve">3.3 Agendamento e Acompanhamento</t>
  </si>
  <si>
    <t xml:space="preserve">Criar e agendar inspeções</t>
  </si>
  <si>
    <t xml:space="preserve">3. Interface Administrativa Web | 3.3 Agendamento e Acompanhamento</t>
  </si>
  <si>
    <t xml:space="preserve">Atribuir técnico e controlar status</t>
  </si>
  <si>
    <t xml:space="preserve">Acompanhar inspeções e respostas</t>
  </si>
  <si>
    <t xml:space="preserve">Totais (3.3 Agendamento e Acompanhamento)</t>
  </si>
  <si>
    <t xml:space="preserve">3.4 Revisão e Indicadores</t>
  </si>
  <si>
    <t xml:space="preserve">Implementar revisão da inspeção</t>
  </si>
  <si>
    <t xml:space="preserve">3. Interface Administrativa Web | 3.4 Revisão e Indicadores</t>
  </si>
  <si>
    <t xml:space="preserve">Implementar aprovação, reprovação e correção</t>
  </si>
  <si>
    <t xml:space="preserve">Implementar indicadores de inspeções e não conformidades</t>
  </si>
  <si>
    <t xml:space="preserve">Totais (3.4 Revisão e Indicadores)</t>
  </si>
  <si>
    <t xml:space="preserve">4. API REST</t>
  </si>
  <si>
    <t xml:space="preserve">4.1 Base da API</t>
  </si>
  <si>
    <t xml:space="preserve">Estruturar API REST</t>
  </si>
  <si>
    <t xml:space="preserve">4. API REST | 4.1 Base da API</t>
  </si>
  <si>
    <t xml:space="preserve">Implementar autenticação e autorização</t>
  </si>
  <si>
    <t xml:space="preserve">Implementar validações e regras de negócio</t>
  </si>
  <si>
    <t xml:space="preserve">Totais (4.1 Base da API)</t>
  </si>
  <si>
    <t xml:space="preserve">4.2 Recursos</t>
  </si>
  <si>
    <t xml:space="preserve">Implementar CRUD de usuários, clientes e locais</t>
  </si>
  <si>
    <t xml:space="preserve">4. API REST | 4.2 Recursos</t>
  </si>
  <si>
    <t xml:space="preserve">Implementar CRUD de equipamentos</t>
  </si>
  <si>
    <t xml:space="preserve">Implementar CRUD e versionamento de modelos</t>
  </si>
  <si>
    <t xml:space="preserve">Totais (4.2 Recursos)</t>
  </si>
  <si>
    <t xml:space="preserve">4.3 Inspeções e Evidências</t>
  </si>
  <si>
    <t xml:space="preserve">Implementar criação, agendamento e atribuição</t>
  </si>
  <si>
    <t xml:space="preserve">4. API REST | 4.3 Inspeções e Evidências</t>
  </si>
  <si>
    <t xml:space="preserve">Receber respostas e evidências</t>
  </si>
  <si>
    <t xml:space="preserve">Implementar upload e consulta de arquivos</t>
  </si>
  <si>
    <t xml:space="preserve">Totais (4.3 Inspeções e Evidências)</t>
  </si>
  <si>
    <t xml:space="preserve">4.4 Sincronização e Auditoria</t>
  </si>
  <si>
    <t xml:space="preserve">Implementar sincronização mobile/API</t>
  </si>
  <si>
    <t xml:space="preserve">4. API REST | 4.4 Sincronização e Auditoria</t>
  </si>
  <si>
    <t xml:space="preserve">Implementar histórico e auditoria</t>
  </si>
  <si>
    <t xml:space="preserve">Documentar contrato da API</t>
  </si>
  <si>
    <t xml:space="preserve">Totais (4.4 Sincronização e Auditoria)</t>
  </si>
  <si>
    <t xml:space="preserve">5. Banco de Dados e Persistência</t>
  </si>
  <si>
    <t xml:space="preserve">5.1 PostgreSQL</t>
  </si>
  <si>
    <t xml:space="preserve">Modelar banco de dados</t>
  </si>
  <si>
    <t xml:space="preserve">5. Banco de Dados e Persistência | 5.1 PostgreSQL</t>
  </si>
  <si>
    <t xml:space="preserve">Criar tabelas e relacionamentos</t>
  </si>
  <si>
    <t xml:space="preserve">Configurar persistência das entidades do FieldOps</t>
  </si>
  <si>
    <t xml:space="preserve">Totais (5.1 PostgreSQL)</t>
  </si>
  <si>
    <t xml:space="preserve">5.2 Persistência Local</t>
  </si>
  <si>
    <t xml:space="preserve">Configurar SQLite e armazenamento local</t>
  </si>
  <si>
    <t xml:space="preserve">5. Banco de Dados e Persistência | 5.2 Persistência Local</t>
  </si>
  <si>
    <t xml:space="preserve">Estruturar dados pendentes e outbox</t>
  </si>
  <si>
    <t xml:space="preserve">Totais (5.2 Persistência Local)</t>
  </si>
  <si>
    <t xml:space="preserve">5.3 Arquivos</t>
  </si>
  <si>
    <t xml:space="preserve">Configurar armazenamento de objetos</t>
  </si>
  <si>
    <t xml:space="preserve">5. Banco de Dados e Persistência | 5.3 Arquivos</t>
  </si>
  <si>
    <t xml:space="preserve">Configurar armazenamento e recuperação de fotografias</t>
  </si>
  <si>
    <t xml:space="preserve">Totais (5.3 Arquivos)</t>
  </si>
  <si>
    <t xml:space="preserve">6. Infraestrutura</t>
  </si>
  <si>
    <t xml:space="preserve">6.1 Ambientes</t>
  </si>
  <si>
    <t xml:space="preserve">Configurar ambiente de desenvolvimento</t>
  </si>
  <si>
    <t xml:space="preserve">6. Infraestrutura | 6.1 Ambientes</t>
  </si>
  <si>
    <t xml:space="preserve">Configurar ambiente de testes</t>
  </si>
  <si>
    <t xml:space="preserve">Configurar ambiente de produção</t>
  </si>
  <si>
    <t xml:space="preserve">Totais (6.1 Ambientes)</t>
  </si>
  <si>
    <t xml:space="preserve">6.2 Observabilidade e Auditoria</t>
  </si>
  <si>
    <t xml:space="preserve">Configurar logs</t>
  </si>
  <si>
    <t xml:space="preserve">6. Infraestrutura | 6.2 Observabilidade e Auditoria</t>
  </si>
  <si>
    <t xml:space="preserve">Configurar registros de auditoria</t>
  </si>
  <si>
    <t xml:space="preserve">Validar infraestrutura e acessos</t>
  </si>
  <si>
    <t xml:space="preserve">Totais (6.2 Observabilidade e Auditoria)</t>
  </si>
  <si>
    <t xml:space="preserve">7. Testes e Validação</t>
  </si>
  <si>
    <t xml:space="preserve">7.1 Testes Técnicos</t>
  </si>
  <si>
    <t xml:space="preserve">Planejar testes</t>
  </si>
  <si>
    <t xml:space="preserve">7. Testes e Validação | 7.1 Testes Técnicos</t>
  </si>
  <si>
    <t xml:space="preserve">Testar API e persistência</t>
  </si>
  <si>
    <t xml:space="preserve">Testar autenticação e autorização</t>
  </si>
  <si>
    <t xml:space="preserve">Totais (7.1 Testes Técnicos)</t>
  </si>
  <si>
    <t xml:space="preserve">7.2 Testes Funcionais</t>
  </si>
  <si>
    <t xml:space="preserve">Testar aplicativo mobile</t>
  </si>
  <si>
    <t xml:space="preserve">7. Testes e Validação | 7.2 Testes Funcionais</t>
  </si>
  <si>
    <t xml:space="preserve">Testar interface administrativa web</t>
  </si>
  <si>
    <t xml:space="preserve">Testar checklist, QR Code e evidências</t>
  </si>
  <si>
    <t xml:space="preserve">Totais (7.2 Testes Funcionais)</t>
  </si>
  <si>
    <t xml:space="preserve">7.3 Offline e Integração</t>
  </si>
  <si>
    <t xml:space="preserve">Testar funcionamento offline</t>
  </si>
  <si>
    <t xml:space="preserve">7. Testes e Validação | 7.3 Offline e Integração</t>
  </si>
  <si>
    <t xml:space="preserve">Testar sincronização</t>
  </si>
  <si>
    <t xml:space="preserve">Testar fluxo completo do MVP</t>
  </si>
  <si>
    <t xml:space="preserve">Totais (7.3 Offline e Integração)</t>
  </si>
  <si>
    <t xml:space="preserve">7.4 Correções e Aceite</t>
  </si>
  <si>
    <t xml:space="preserve">Corrigir problemas encontrados</t>
  </si>
  <si>
    <t xml:space="preserve">7. Testes e Validação | 7.4 Correções e Aceite</t>
  </si>
  <si>
    <t xml:space="preserve">Realizar validação final</t>
  </si>
  <si>
    <t xml:space="preserve">Totais (7.4 Correções e Aceite)</t>
  </si>
  <si>
    <t xml:space="preserve">8. Documentação Final e Entrega</t>
  </si>
  <si>
    <t xml:space="preserve">8.1 Documentação</t>
  </si>
  <si>
    <t xml:space="preserve">Documentar arquitetura</t>
  </si>
  <si>
    <t xml:space="preserve">8. Documentação Final e Entrega | 8.1 Documentação</t>
  </si>
  <si>
    <t xml:space="preserve">Documentar banco de dados</t>
  </si>
  <si>
    <t xml:space="preserve">Documentar aplicativo mobile</t>
  </si>
  <si>
    <t xml:space="preserve">Documentar interface web</t>
  </si>
  <si>
    <t xml:space="preserve">Documentar fluxo de sincronização</t>
  </si>
  <si>
    <t xml:space="preserve">Totais (8.1 Documentação)</t>
  </si>
  <si>
    <t xml:space="preserve">8.2 Entrega</t>
  </si>
  <si>
    <t xml:space="preserve">Consolidar documentação de testes e validação</t>
  </si>
  <si>
    <t xml:space="preserve">8. Documentação Final e Entrega | 8.2 Entrega</t>
  </si>
  <si>
    <t xml:space="preserve">Preparar entrega final do MVP</t>
  </si>
  <si>
    <t xml:space="preserve">Totais (8.2 Entrega)</t>
  </si>
  <si>
    <t xml:space="preserve">TOTAIS — FIELDOPS</t>
  </si>
  <si>
    <t xml:space="preserve">TOTAL DO PROJETO</t>
  </si>
  <si>
    <t xml:space="preserve">FieldOps — MVP</t>
  </si>
  <si>
    <t xml:space="preserve">Observação: valores/hora podem ser alterados nas células B5:B7; os custos das atividades, subtotais e total geral são recalculados por fórmulas.</t>
  </si>
  <si>
    <t xml:space="preserve">FONTE E METODOLOGIA — VALORES DO ORÇAMENTO FIELDOPS</t>
  </si>
  <si>
    <t xml:space="preserve">Fonte bibliográfica</t>
  </si>
  <si>
    <t xml:space="preserve">Ge, C.; Kankanhalli, A.; Huang, K.-W. (2015). Investigating the Determinants of Starting Salary of IT Graduates.</t>
  </si>
  <si>
    <t xml:space="preserve">Publicação</t>
  </si>
  <si>
    <t xml:space="preserve">The DATA BASE for Advances in Information Systems, 46(4), 9–25.</t>
  </si>
  <si>
    <t xml:space="preserve">DOI</t>
  </si>
  <si>
    <t xml:space="preserve">10.1145/2843824.2843826</t>
  </si>
  <si>
    <t xml:space="preserve">Link</t>
  </si>
  <si>
    <t xml:space="preserve">https://doi.org/10.1145/2843824.2843826</t>
  </si>
  <si>
    <t xml:space="preserve">Contexto da base</t>
  </si>
  <si>
    <t xml:space="preserve">828 graduados de TI de uma grande universidade pública de Singapura, com dados de 2007 a 2011.</t>
  </si>
  <si>
    <t xml:space="preserve">Variável salarial</t>
  </si>
  <si>
    <t xml:space="preserve">O estudo mede o salário inicial pelo logaritmo do salário reportado.</t>
  </si>
  <si>
    <t xml:space="preserve">Observação importante</t>
  </si>
  <si>
    <t xml:space="preserve">A fonte não fornece diretamente uma taxa horária para Implantador, Coordenador ou Documentador. As taxas da planilha são uma estimativa paramétrica baseada no salário inicial da amostra, com premissas explicitadas abaixo.</t>
  </si>
  <si>
    <t xml:space="preserve">DADOS EXTRAÍDOS DA PUBLICAÇÃO E PREMISSAS DE CÁLCULO</t>
  </si>
  <si>
    <t xml:space="preserve">Média log(salário) — Computer Science</t>
  </si>
  <si>
    <t xml:space="preserve">Tabela A do artigo</t>
  </si>
  <si>
    <t xml:space="preserve">Média log(salário) — MIS</t>
  </si>
  <si>
    <t xml:space="preserve">Observações — Computer Science</t>
  </si>
  <si>
    <t xml:space="preserve">Observações — MIS</t>
  </si>
  <si>
    <t xml:space="preserve">Total da amostra</t>
  </si>
  <si>
    <t xml:space="preserve">N = 828 no artigo</t>
  </si>
  <si>
    <t xml:space="preserve">Horas de referência por mês</t>
  </si>
  <si>
    <t xml:space="preserve">Premissa de cálculo: 160 h/mês</t>
  </si>
  <si>
    <t xml:space="preserve">Cotação utilizada — 1 SGD em BRL</t>
  </si>
  <si>
    <t xml:space="preserve">Cotação de 01/09/2026; fonte externa de câmbio</t>
  </si>
  <si>
    <t xml:space="preserve">Fator de responsabilidade do Coordenador</t>
  </si>
  <si>
    <t xml:space="preserve">Premissa de projeto; não é dado do artigo</t>
  </si>
  <si>
    <t xml:space="preserve">CÁLCULOS</t>
  </si>
  <si>
    <t xml:space="preserve">Salário mensal CS (SGD)</t>
  </si>
  <si>
    <t xml:space="preserve">Conversão de log(salário) para salário mensal</t>
  </si>
  <si>
    <t xml:space="preserve">Salário mensal MIS (SGD)</t>
  </si>
  <si>
    <t xml:space="preserve">Salário médio ponderado (SGD/mês)</t>
  </si>
  <si>
    <t xml:space="preserve">Ponderado pela quantidade de observações CS/MIS</t>
  </si>
  <si>
    <t xml:space="preserve">Salário médio ponderado (BRL/mês)</t>
  </si>
  <si>
    <t xml:space="preserve">Conversão pelo câmbio informado</t>
  </si>
  <si>
    <t xml:space="preserve">Taxa-base por hora (BRL/h)</t>
  </si>
  <si>
    <t xml:space="preserve">Salário mensal ÷ 160 h/mês</t>
  </si>
  <si>
    <t xml:space="preserve">Implantador (BRL/h)</t>
  </si>
  <si>
    <t xml:space="preserve">Usa a taxa-base</t>
  </si>
  <si>
    <t xml:space="preserve">Coordenador (BRL/h)</t>
  </si>
  <si>
    <t xml:space="preserve">Taxa-base × fator de responsabilidade 1,5</t>
  </si>
  <si>
    <t xml:space="preserve">Documentador (BRL/h)</t>
  </si>
  <si>
    <t xml:space="preserve">ORÇAMENTO FIELDOPS — INSTRUÇÕES</t>
  </si>
  <si>
    <t xml:space="preserve">1</t>
  </si>
  <si>
    <t xml:space="preserve">Altere os valores/hora em B5:B7 da aba 'Orçamento FieldOps'.</t>
  </si>
  <si>
    <t xml:space="preserve">2</t>
  </si>
  <si>
    <t xml:space="preserve">As fórmulas calculam automaticamente o custo de cada atividade.</t>
  </si>
  <si>
    <t xml:space="preserve">3</t>
  </si>
  <si>
    <t xml:space="preserve">Os subtotais são apresentados ao final de cada subetapa.</t>
  </si>
  <si>
    <t xml:space="preserve">4</t>
  </si>
  <si>
    <t xml:space="preserve">O total geral consolida horas, custos adicionais e custo do projeto.</t>
  </si>
  <si>
    <t xml:space="preserve">5</t>
  </si>
  <si>
    <t xml:space="preserve">A coluna 'Origem' deve ser preenchida somente quando houver custo adicional.</t>
  </si>
  <si>
    <t xml:space="preserve">7</t>
  </si>
  <si>
    <t xml:space="preserve">Os valores/hora da aba 'Orçamento FieldOps' são calculados a partir da base salarial do artigo de Ge, Kankanhalli e Huang (2015); consulte a aba 'Fonte e Metodologia' para a fonte, dados, fórmulas e premissas.</t>
  </si>
  <si>
    <t xml:space="preserve">8</t>
  </si>
  <si>
    <t xml:space="preserve">A taxa do Coordenador utiliza fator de 1,5× sobre a taxa-base; esse fator é uma premissa de modelagem e não um valor informado pela publicação.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</si>
</sst>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R$ &quot;#,##0.00"/>
    <numFmt numFmtId="166" formatCode="0"/>
    <numFmt numFmtId="167" formatCode="&quot;R$ &quot;#,##0.0000"/>
    <numFmt numFmtId="168" formatCode="0.00\x"/>
    <numFmt numFmtId="169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0"/>
      <color rgb="FF7F6000"/>
      <name val="Calibri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i val="true"/>
      <sz val="9"/>
      <name val="Cambria"/>
      <family val="0"/>
      <charset val="1"/>
    </font>
    <font>
      <sz val="12"/>
      <color theme="10"/>
      <name val="Calibri"/>
      <family val="2"/>
      <charset val="1"/>
    </font>
    <font>
      <i val="true"/>
      <sz val="11"/>
      <color rgb="FF666666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2CC"/>
        <bgColor rgb="FFF2F2F2"/>
      </patternFill>
    </fill>
    <fill>
      <patternFill patternType="solid">
        <fgColor rgb="FF5B9BD5"/>
        <bgColor rgb="FF969696"/>
      </patternFill>
    </fill>
    <fill>
      <patternFill patternType="solid">
        <fgColor rgb="FFD9EAF7"/>
        <bgColor rgb="FFEAF2F8"/>
      </patternFill>
    </fill>
    <fill>
      <patternFill patternType="solid">
        <fgColor rgb="FFF2F2F2"/>
        <bgColor rgb="FFEAF2F8"/>
      </patternFill>
    </fill>
    <fill>
      <patternFill patternType="solid">
        <fgColor rgb="FFFF0000"/>
        <bgColor rgb="FF993300"/>
      </patternFill>
    </fill>
    <fill>
      <patternFill patternType="solid">
        <fgColor rgb="FFD9D9D9"/>
        <bgColor rgb="FFD9EAF7"/>
      </patternFill>
    </fill>
    <fill>
      <patternFill patternType="solid">
        <fgColor rgb="FFEAF2F8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 style="thin">
        <color rgb="FFB7B7B7"/>
      </right>
      <top style="medium">
        <color rgb="FF808080"/>
      </top>
      <bottom style="thin">
        <color rgb="FFB7B7B7"/>
      </bottom>
      <diagonal/>
    </border>
    <border diagonalUp="false" diagonalDown="false">
      <left style="thin">
        <color rgb="FFB7B7B7"/>
      </left>
      <right style="thin">
        <color rgb="FFB7B7B7"/>
      </right>
      <top style="medium">
        <color rgb="FF808080"/>
      </top>
      <bottom style="medium">
        <color rgb="FF80808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2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8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9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7">
    <dxf>
      <fill>
        <patternFill patternType="solid">
          <fgColor rgb="FF000000"/>
          <bgColor rgb="FF000000"/>
        </patternFill>
      </fill>
    </dxf>
    <dxf>
      <fill>
        <patternFill patternType="solid">
          <fgColor rgb="FF5B9BD5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7B7B7"/>
      <rgbColor rgb="FF808080"/>
      <rgbColor rgb="FF5B9BD5"/>
      <rgbColor rgb="FF993366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F2F2F2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i.org/10.1145/2843824.2843826" TargetMode="External"/><Relationship Id="rId2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oi.org/10.1145/2843824.284382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5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9"/>
    <col collapsed="false" customWidth="true" hidden="false" outlineLevel="0" max="7" min="6" style="0" width="18"/>
    <col collapsed="false" customWidth="true" hidden="false" outlineLevel="0" max="8" min="8" style="0" width="4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4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4" t="s">
        <v>3</v>
      </c>
      <c r="B4" s="4" t="s">
        <v>4</v>
      </c>
    </row>
    <row r="5" customFormat="false" ht="15" hidden="false" customHeight="false" outlineLevel="0" collapsed="false">
      <c r="A5" s="5" t="s">
        <v>5</v>
      </c>
      <c r="B5" s="6" t="n">
        <f aca="false">'Fonte e Metodologia'!B27</f>
        <v>69.4905128554325</v>
      </c>
    </row>
    <row r="6" customFormat="false" ht="15" hidden="false" customHeight="false" outlineLevel="0" collapsed="false">
      <c r="A6" s="5" t="s">
        <v>6</v>
      </c>
      <c r="B6" s="6" t="n">
        <f aca="false">'Fonte e Metodologia'!B28</f>
        <v>104.235769283149</v>
      </c>
    </row>
    <row r="7" customFormat="false" ht="15" hidden="false" customHeight="false" outlineLevel="0" collapsed="false">
      <c r="A7" s="5" t="s">
        <v>7</v>
      </c>
      <c r="B7" s="6" t="n">
        <f aca="false">'Fonte e Metodologia'!B29</f>
        <v>69.4905128554325</v>
      </c>
    </row>
    <row r="8" customFormat="false" ht="31.5" hidden="false" customHeight="true" outlineLevel="0" collapsed="false">
      <c r="A8" s="7" t="s">
        <v>8</v>
      </c>
      <c r="B8" s="7"/>
      <c r="C8" s="7"/>
      <c r="D8" s="7"/>
      <c r="E8" s="7"/>
      <c r="F8" s="7"/>
      <c r="G8" s="7"/>
      <c r="H8" s="7"/>
    </row>
    <row r="9" customFormat="false" ht="42" hidden="false" customHeight="true" outlineLevel="0" collapsed="false">
      <c r="A9" s="8" t="s">
        <v>9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8" t="s">
        <v>15</v>
      </c>
      <c r="H9" s="8" t="s">
        <v>16</v>
      </c>
    </row>
    <row r="10" customFormat="false" ht="15" hidden="false" customHeight="false" outlineLevel="0" collapsed="false">
      <c r="A10" s="9" t="s">
        <v>17</v>
      </c>
      <c r="B10" s="9"/>
      <c r="C10" s="9"/>
      <c r="D10" s="9"/>
      <c r="E10" s="9"/>
      <c r="F10" s="9"/>
      <c r="G10" s="9"/>
      <c r="H10" s="9"/>
    </row>
    <row r="11" customFormat="false" ht="15" hidden="false" customHeight="false" outlineLevel="0" collapsed="false">
      <c r="A11" s="10" t="s">
        <v>18</v>
      </c>
      <c r="B11" s="10"/>
      <c r="C11" s="10"/>
      <c r="D11" s="10"/>
      <c r="E11" s="10"/>
      <c r="F11" s="10"/>
      <c r="G11" s="10"/>
      <c r="H11" s="10"/>
    </row>
    <row r="12" customFormat="false" ht="28.35" hidden="false" customHeight="false" outlineLevel="0" collapsed="false">
      <c r="A12" s="11" t="s">
        <v>19</v>
      </c>
      <c r="B12" s="12" t="n">
        <v>2</v>
      </c>
      <c r="C12" s="12" t="n">
        <v>3</v>
      </c>
      <c r="D12" s="12" t="n">
        <v>1</v>
      </c>
      <c r="E12" s="13" t="n">
        <v>0</v>
      </c>
      <c r="F12" s="14"/>
      <c r="G12" s="13" t="n">
        <f aca="false">B12*$B$5+C12*$B$6+D12*$B$7+E12</f>
        <v>521.178846415744</v>
      </c>
      <c r="H12" s="14" t="s">
        <v>20</v>
      </c>
    </row>
    <row r="13" customFormat="false" ht="28.35" hidden="false" customHeight="false" outlineLevel="0" collapsed="false">
      <c r="A13" s="11" t="s">
        <v>21</v>
      </c>
      <c r="B13" s="12" t="n">
        <v>3</v>
      </c>
      <c r="C13" s="12" t="n">
        <v>3</v>
      </c>
      <c r="D13" s="12" t="n">
        <v>1</v>
      </c>
      <c r="E13" s="13" t="n">
        <v>0</v>
      </c>
      <c r="F13" s="14"/>
      <c r="G13" s="13" t="n">
        <f aca="false">B13*$B$5+C13*$B$6+D13*$B$7+E13</f>
        <v>590.669359271177</v>
      </c>
      <c r="H13" s="14" t="s">
        <v>20</v>
      </c>
    </row>
    <row r="14" customFormat="false" ht="28.35" hidden="false" customHeight="false" outlineLevel="0" collapsed="false">
      <c r="A14" s="11" t="s">
        <v>22</v>
      </c>
      <c r="B14" s="12" t="n">
        <v>3</v>
      </c>
      <c r="C14" s="12" t="n">
        <v>4</v>
      </c>
      <c r="D14" s="12" t="n">
        <v>2</v>
      </c>
      <c r="E14" s="13" t="n">
        <v>0</v>
      </c>
      <c r="F14" s="14"/>
      <c r="G14" s="13" t="n">
        <f aca="false">B14*$B$5+C14*$B$6+D14*$B$7+E14</f>
        <v>764.395641409758</v>
      </c>
      <c r="H14" s="14" t="s">
        <v>20</v>
      </c>
    </row>
    <row r="15" customFormat="false" ht="28.35" hidden="false" customHeight="false" outlineLevel="0" collapsed="false">
      <c r="A15" s="11" t="s">
        <v>23</v>
      </c>
      <c r="B15" s="12" t="n">
        <v>3</v>
      </c>
      <c r="C15" s="12" t="n">
        <v>4</v>
      </c>
      <c r="D15" s="12" t="n">
        <v>2</v>
      </c>
      <c r="E15" s="13" t="n">
        <v>0</v>
      </c>
      <c r="F15" s="14"/>
      <c r="G15" s="13" t="n">
        <f aca="false">B15*$B$5+C15*$B$6+D15*$B$7+E15</f>
        <v>764.395641409758</v>
      </c>
      <c r="H15" s="14" t="s">
        <v>20</v>
      </c>
    </row>
    <row r="16" customFormat="false" ht="28.35" hidden="false" customHeight="false" outlineLevel="0" collapsed="false">
      <c r="A16" s="11" t="s">
        <v>24</v>
      </c>
      <c r="B16" s="12" t="n">
        <v>2</v>
      </c>
      <c r="C16" s="12" t="n">
        <v>3</v>
      </c>
      <c r="D16" s="12" t="n">
        <v>2</v>
      </c>
      <c r="E16" s="13" t="n">
        <v>0</v>
      </c>
      <c r="F16" s="14"/>
      <c r="G16" s="13" t="n">
        <f aca="false">B16*$B$5+C16*$B$6+D16*$B$7+E16</f>
        <v>590.669359271177</v>
      </c>
      <c r="H16" s="14" t="s">
        <v>20</v>
      </c>
    </row>
    <row r="17" customFormat="false" ht="15" hidden="false" customHeight="false" outlineLevel="0" collapsed="false">
      <c r="A17" s="15" t="s">
        <v>25</v>
      </c>
      <c r="B17" s="16" t="n">
        <f aca="false">SUM(B12:B16)</f>
        <v>13</v>
      </c>
      <c r="C17" s="16" t="n">
        <f aca="false">SUM(C12:C16)</f>
        <v>17</v>
      </c>
      <c r="D17" s="16" t="n">
        <f aca="false">SUM(D12:D16)</f>
        <v>8</v>
      </c>
      <c r="E17" s="17" t="n">
        <f aca="false">SUM(E12:E16)</f>
        <v>0</v>
      </c>
      <c r="F17" s="15"/>
      <c r="G17" s="17" t="n">
        <f aca="false">SUM(G12:G16)</f>
        <v>3231.30884777761</v>
      </c>
      <c r="H17" s="15"/>
    </row>
    <row r="18" customFormat="false" ht="15" hidden="false" customHeight="false" outlineLevel="0" collapsed="false">
      <c r="A18" s="10" t="s">
        <v>26</v>
      </c>
      <c r="B18" s="10"/>
      <c r="C18" s="10"/>
      <c r="D18" s="10"/>
      <c r="E18" s="10"/>
      <c r="F18" s="10"/>
      <c r="G18" s="10"/>
      <c r="H18" s="10"/>
    </row>
    <row r="19" customFormat="false" ht="28.35" hidden="false" customHeight="false" outlineLevel="0" collapsed="false">
      <c r="A19" s="11" t="s">
        <v>27</v>
      </c>
      <c r="B19" s="12" t="n">
        <v>2</v>
      </c>
      <c r="C19" s="12" t="n">
        <v>3</v>
      </c>
      <c r="D19" s="12" t="n">
        <v>2</v>
      </c>
      <c r="E19" s="13" t="n">
        <v>0</v>
      </c>
      <c r="F19" s="14"/>
      <c r="G19" s="13" t="n">
        <f aca="false">B19*$B$5+C19*$B$6+D19*$B$7+E19</f>
        <v>590.669359271177</v>
      </c>
      <c r="H19" s="14" t="s">
        <v>28</v>
      </c>
    </row>
    <row r="20" customFormat="false" ht="28.35" hidden="false" customHeight="false" outlineLevel="0" collapsed="false">
      <c r="A20" s="11" t="s">
        <v>29</v>
      </c>
      <c r="B20" s="12" t="n">
        <v>1</v>
      </c>
      <c r="C20" s="12" t="n">
        <v>2</v>
      </c>
      <c r="D20" s="12" t="n">
        <v>3</v>
      </c>
      <c r="E20" s="13" t="n">
        <v>0</v>
      </c>
      <c r="F20" s="14"/>
      <c r="G20" s="13" t="n">
        <f aca="false">B20*$B$5+C20*$B$6+D20*$B$7+E20</f>
        <v>486.433589988028</v>
      </c>
      <c r="H20" s="14" t="s">
        <v>28</v>
      </c>
    </row>
    <row r="21" customFormat="false" ht="15" hidden="false" customHeight="false" outlineLevel="0" collapsed="false">
      <c r="A21" s="15" t="s">
        <v>30</v>
      </c>
      <c r="B21" s="16" t="n">
        <f aca="false">SUM(B19:B20)</f>
        <v>3</v>
      </c>
      <c r="C21" s="16" t="n">
        <f aca="false">SUM(C19:C20)</f>
        <v>5</v>
      </c>
      <c r="D21" s="16" t="n">
        <f aca="false">SUM(D19:D20)</f>
        <v>5</v>
      </c>
      <c r="E21" s="17" t="n">
        <f aca="false">SUM(E19:E20)</f>
        <v>0</v>
      </c>
      <c r="F21" s="15"/>
      <c r="G21" s="17" t="n">
        <f aca="false">SUM(G19:G20)</f>
        <v>1077.1029492592</v>
      </c>
      <c r="H21" s="15"/>
    </row>
    <row r="22" customFormat="false" ht="15" hidden="false" customHeight="false" outlineLevel="0" collapsed="false">
      <c r="A22" s="9" t="s">
        <v>31</v>
      </c>
      <c r="B22" s="9"/>
      <c r="C22" s="9"/>
      <c r="D22" s="9"/>
      <c r="E22" s="9"/>
      <c r="F22" s="9"/>
      <c r="G22" s="9"/>
      <c r="H22" s="9"/>
    </row>
    <row r="23" customFormat="false" ht="15" hidden="false" customHeight="false" outlineLevel="0" collapsed="false">
      <c r="A23" s="10" t="s">
        <v>32</v>
      </c>
      <c r="B23" s="10"/>
      <c r="C23" s="10"/>
      <c r="D23" s="10"/>
      <c r="E23" s="10"/>
      <c r="F23" s="10"/>
      <c r="G23" s="10"/>
      <c r="H23" s="10"/>
    </row>
    <row r="24" customFormat="false" ht="15" hidden="false" customHeight="false" outlineLevel="0" collapsed="false">
      <c r="A24" s="11" t="s">
        <v>33</v>
      </c>
      <c r="B24" s="12" t="n">
        <v>6</v>
      </c>
      <c r="C24" s="12" t="n">
        <v>1</v>
      </c>
      <c r="D24" s="12" t="n">
        <v>1</v>
      </c>
      <c r="E24" s="13" t="n">
        <v>0</v>
      </c>
      <c r="F24" s="14"/>
      <c r="G24" s="13" t="n">
        <f aca="false">B24*$B$5+C24*$B$6+D24*$B$7+E24</f>
        <v>590.669359271177</v>
      </c>
      <c r="H24" s="14" t="s">
        <v>34</v>
      </c>
    </row>
    <row r="25" customFormat="false" ht="15" hidden="false" customHeight="false" outlineLevel="0" collapsed="false">
      <c r="A25" s="11" t="s">
        <v>35</v>
      </c>
      <c r="B25" s="12" t="n">
        <v>4</v>
      </c>
      <c r="C25" s="12" t="n">
        <v>1</v>
      </c>
      <c r="D25" s="12" t="n">
        <v>0</v>
      </c>
      <c r="E25" s="13" t="n">
        <v>0</v>
      </c>
      <c r="F25" s="14"/>
      <c r="G25" s="13" t="n">
        <f aca="false">B25*$B$5+C25*$B$6+D25*$B$7+E25</f>
        <v>382.197820704879</v>
      </c>
      <c r="H25" s="14" t="s">
        <v>34</v>
      </c>
    </row>
    <row r="26" customFormat="false" ht="15" hidden="false" customHeight="false" outlineLevel="0" collapsed="false">
      <c r="A26" s="11" t="s">
        <v>36</v>
      </c>
      <c r="B26" s="12" t="n">
        <v>4</v>
      </c>
      <c r="C26" s="12" t="n">
        <v>2</v>
      </c>
      <c r="D26" s="12" t="n">
        <v>1</v>
      </c>
      <c r="E26" s="13" t="n">
        <v>0</v>
      </c>
      <c r="F26" s="14"/>
      <c r="G26" s="13" t="n">
        <f aca="false">B26*$B$5+C26*$B$6+D26*$B$7+E26</f>
        <v>555.92410284346</v>
      </c>
      <c r="H26" s="14" t="s">
        <v>34</v>
      </c>
    </row>
    <row r="27" customFormat="false" ht="15" hidden="false" customHeight="false" outlineLevel="0" collapsed="false">
      <c r="A27" s="15" t="s">
        <v>37</v>
      </c>
      <c r="B27" s="16" t="n">
        <f aca="false">SUM(B24:B26)</f>
        <v>14</v>
      </c>
      <c r="C27" s="16" t="n">
        <f aca="false">SUM(C24:C26)</f>
        <v>4</v>
      </c>
      <c r="D27" s="16" t="n">
        <f aca="false">SUM(D24:D26)</f>
        <v>2</v>
      </c>
      <c r="E27" s="17" t="n">
        <f aca="false">SUM(E24:E26)</f>
        <v>0</v>
      </c>
      <c r="F27" s="15"/>
      <c r="G27" s="17" t="n">
        <f aca="false">SUM(G24:G26)</f>
        <v>1528.79128281952</v>
      </c>
      <c r="H27" s="15"/>
    </row>
    <row r="28" customFormat="false" ht="15" hidden="false" customHeight="false" outlineLevel="0" collapsed="false">
      <c r="A28" s="10" t="s">
        <v>38</v>
      </c>
      <c r="B28" s="10"/>
      <c r="C28" s="10"/>
      <c r="D28" s="10"/>
      <c r="E28" s="10"/>
      <c r="F28" s="10"/>
      <c r="G28" s="10"/>
      <c r="H28" s="10"/>
    </row>
    <row r="29" customFormat="false" ht="15" hidden="false" customHeight="false" outlineLevel="0" collapsed="false">
      <c r="A29" s="11" t="s">
        <v>39</v>
      </c>
      <c r="B29" s="12" t="n">
        <v>6</v>
      </c>
      <c r="C29" s="12" t="n">
        <v>1</v>
      </c>
      <c r="D29" s="12" t="n">
        <v>0</v>
      </c>
      <c r="E29" s="13" t="n">
        <v>0</v>
      </c>
      <c r="F29" s="14"/>
      <c r="G29" s="13" t="n">
        <f aca="false">B29*$B$5+C29*$B$6+D29*$B$7+E29</f>
        <v>521.178846415744</v>
      </c>
      <c r="H29" s="14" t="s">
        <v>40</v>
      </c>
    </row>
    <row r="30" customFormat="false" ht="15" hidden="false" customHeight="false" outlineLevel="0" collapsed="false">
      <c r="A30" s="11" t="s">
        <v>41</v>
      </c>
      <c r="B30" s="12" t="n">
        <v>5</v>
      </c>
      <c r="C30" s="12" t="n">
        <v>1</v>
      </c>
      <c r="D30" s="12" t="n">
        <v>0</v>
      </c>
      <c r="E30" s="13" t="n">
        <v>0</v>
      </c>
      <c r="F30" s="14"/>
      <c r="G30" s="13" t="n">
        <f aca="false">B30*$B$5+C30*$B$6+D30*$B$7+E30</f>
        <v>451.688333560312</v>
      </c>
      <c r="H30" s="14" t="s">
        <v>40</v>
      </c>
    </row>
    <row r="31" customFormat="false" ht="15" hidden="false" customHeight="false" outlineLevel="0" collapsed="false">
      <c r="A31" s="11" t="s">
        <v>42</v>
      </c>
      <c r="B31" s="12" t="n">
        <v>5</v>
      </c>
      <c r="C31" s="12" t="n">
        <v>2</v>
      </c>
      <c r="D31" s="12" t="n">
        <v>0</v>
      </c>
      <c r="E31" s="13" t="n">
        <v>0</v>
      </c>
      <c r="F31" s="14"/>
      <c r="G31" s="13" t="n">
        <f aca="false">B31*$B$5+C31*$B$6+D31*$B$7+E31</f>
        <v>555.92410284346</v>
      </c>
      <c r="H31" s="14" t="s">
        <v>40</v>
      </c>
    </row>
    <row r="32" customFormat="false" ht="15" hidden="false" customHeight="false" outlineLevel="0" collapsed="false">
      <c r="A32" s="15" t="s">
        <v>43</v>
      </c>
      <c r="B32" s="16" t="n">
        <f aca="false">SUM(B29:B31)</f>
        <v>16</v>
      </c>
      <c r="C32" s="16" t="n">
        <f aca="false">SUM(C29:C31)</f>
        <v>4</v>
      </c>
      <c r="D32" s="16" t="n">
        <f aca="false">SUM(D29:D31)</f>
        <v>0</v>
      </c>
      <c r="E32" s="17" t="n">
        <f aca="false">SUM(E29:E31)</f>
        <v>0</v>
      </c>
      <c r="F32" s="15"/>
      <c r="G32" s="17" t="n">
        <f aca="false">SUM(G29:G31)</f>
        <v>1528.79128281952</v>
      </c>
      <c r="H32" s="15"/>
    </row>
    <row r="33" customFormat="false" ht="15" hidden="false" customHeight="false" outlineLevel="0" collapsed="false">
      <c r="A33" s="10" t="s">
        <v>44</v>
      </c>
      <c r="B33" s="10"/>
      <c r="C33" s="10"/>
      <c r="D33" s="10"/>
      <c r="E33" s="10"/>
      <c r="F33" s="10"/>
      <c r="G33" s="10"/>
      <c r="H33" s="10"/>
    </row>
    <row r="34" customFormat="false" ht="15" hidden="false" customHeight="false" outlineLevel="0" collapsed="false">
      <c r="A34" s="11" t="s">
        <v>45</v>
      </c>
      <c r="B34" s="12" t="n">
        <v>6</v>
      </c>
      <c r="C34" s="12" t="n">
        <v>1</v>
      </c>
      <c r="D34" s="12" t="n">
        <v>0</v>
      </c>
      <c r="E34" s="13" t="n">
        <v>0</v>
      </c>
      <c r="F34" s="14"/>
      <c r="G34" s="13" t="n">
        <f aca="false">B34*$B$5+C34*$B$6+D34*$B$7+E34</f>
        <v>521.178846415744</v>
      </c>
      <c r="H34" s="14" t="s">
        <v>46</v>
      </c>
    </row>
    <row r="35" customFormat="false" ht="15" hidden="false" customHeight="false" outlineLevel="0" collapsed="false">
      <c r="A35" s="11" t="s">
        <v>47</v>
      </c>
      <c r="B35" s="12" t="n">
        <v>4</v>
      </c>
      <c r="C35" s="12" t="n">
        <v>1</v>
      </c>
      <c r="D35" s="12" t="n">
        <v>0</v>
      </c>
      <c r="E35" s="13" t="n">
        <v>0</v>
      </c>
      <c r="F35" s="14"/>
      <c r="G35" s="13" t="n">
        <f aca="false">B35*$B$5+C35*$B$6+D35*$B$7+E35</f>
        <v>382.197820704879</v>
      </c>
      <c r="H35" s="14" t="s">
        <v>46</v>
      </c>
    </row>
    <row r="36" customFormat="false" ht="15" hidden="false" customHeight="false" outlineLevel="0" collapsed="false">
      <c r="A36" s="15" t="s">
        <v>48</v>
      </c>
      <c r="B36" s="16" t="n">
        <f aca="false">SUM(B34:B35)</f>
        <v>10</v>
      </c>
      <c r="C36" s="16" t="n">
        <f aca="false">SUM(C34:C35)</f>
        <v>2</v>
      </c>
      <c r="D36" s="16" t="n">
        <f aca="false">SUM(D34:D35)</f>
        <v>0</v>
      </c>
      <c r="E36" s="17" t="n">
        <f aca="false">SUM(E34:E35)</f>
        <v>0</v>
      </c>
      <c r="F36" s="15"/>
      <c r="G36" s="17" t="n">
        <f aca="false">SUM(G34:G35)</f>
        <v>903.376667120623</v>
      </c>
      <c r="H36" s="15"/>
    </row>
    <row r="37" customFormat="false" ht="15" hidden="false" customHeight="false" outlineLevel="0" collapsed="false">
      <c r="A37" s="10" t="s">
        <v>49</v>
      </c>
      <c r="B37" s="10"/>
      <c r="C37" s="10"/>
      <c r="D37" s="10"/>
      <c r="E37" s="10"/>
      <c r="F37" s="10"/>
      <c r="G37" s="10"/>
      <c r="H37" s="10"/>
    </row>
    <row r="38" customFormat="false" ht="15" hidden="false" customHeight="false" outlineLevel="0" collapsed="false">
      <c r="A38" s="11" t="s">
        <v>50</v>
      </c>
      <c r="B38" s="12" t="n">
        <v>10</v>
      </c>
      <c r="C38" s="12" t="n">
        <v>2</v>
      </c>
      <c r="D38" s="12" t="n">
        <v>1</v>
      </c>
      <c r="E38" s="13" t="n">
        <v>0</v>
      </c>
      <c r="F38" s="14"/>
      <c r="G38" s="13" t="n">
        <f aca="false">B38*$B$5+C38*$B$6+D38*$B$7+E38</f>
        <v>972.867179976056</v>
      </c>
      <c r="H38" s="14" t="s">
        <v>51</v>
      </c>
    </row>
    <row r="39" customFormat="false" ht="15" hidden="false" customHeight="false" outlineLevel="0" collapsed="false">
      <c r="A39" s="11" t="s">
        <v>52</v>
      </c>
      <c r="B39" s="12" t="n">
        <v>8</v>
      </c>
      <c r="C39" s="12" t="n">
        <v>2</v>
      </c>
      <c r="D39" s="12" t="n">
        <v>0</v>
      </c>
      <c r="E39" s="13" t="n">
        <v>0</v>
      </c>
      <c r="F39" s="14"/>
      <c r="G39" s="13" t="n">
        <f aca="false">B39*$B$5+C39*$B$6+D39*$B$7+E39</f>
        <v>764.395641409758</v>
      </c>
      <c r="H39" s="14" t="s">
        <v>51</v>
      </c>
    </row>
    <row r="40" customFormat="false" ht="15" hidden="false" customHeight="false" outlineLevel="0" collapsed="false">
      <c r="A40" s="11" t="s">
        <v>53</v>
      </c>
      <c r="B40" s="12" t="n">
        <v>6</v>
      </c>
      <c r="C40" s="12" t="n">
        <v>1</v>
      </c>
      <c r="D40" s="12" t="n">
        <v>0</v>
      </c>
      <c r="E40" s="13" t="n">
        <v>0</v>
      </c>
      <c r="F40" s="14"/>
      <c r="G40" s="13" t="n">
        <f aca="false">B40*$B$5+C40*$B$6+D40*$B$7+E40</f>
        <v>521.178846415744</v>
      </c>
      <c r="H40" s="14" t="s">
        <v>51</v>
      </c>
    </row>
    <row r="41" customFormat="false" ht="15" hidden="false" customHeight="false" outlineLevel="0" collapsed="false">
      <c r="A41" s="11" t="s">
        <v>54</v>
      </c>
      <c r="B41" s="12" t="n">
        <v>6</v>
      </c>
      <c r="C41" s="12" t="n">
        <v>2</v>
      </c>
      <c r="D41" s="12" t="n">
        <v>1</v>
      </c>
      <c r="E41" s="13" t="n">
        <v>0</v>
      </c>
      <c r="F41" s="14"/>
      <c r="G41" s="13" t="n">
        <f aca="false">B41*$B$5+C41*$B$6+D41*$B$7+E41</f>
        <v>694.905128554326</v>
      </c>
      <c r="H41" s="14" t="s">
        <v>51</v>
      </c>
    </row>
    <row r="42" customFormat="false" ht="15" hidden="false" customHeight="false" outlineLevel="0" collapsed="false">
      <c r="A42" s="11" t="s">
        <v>55</v>
      </c>
      <c r="B42" s="12" t="n">
        <v>5</v>
      </c>
      <c r="C42" s="12" t="n">
        <v>1</v>
      </c>
      <c r="D42" s="12" t="n">
        <v>0</v>
      </c>
      <c r="E42" s="13" t="n">
        <v>0</v>
      </c>
      <c r="F42" s="14"/>
      <c r="G42" s="13" t="n">
        <f aca="false">B42*$B$5+C42*$B$6+D42*$B$7+E42</f>
        <v>451.688333560312</v>
      </c>
      <c r="H42" s="14" t="s">
        <v>51</v>
      </c>
    </row>
    <row r="43" customFormat="false" ht="15" hidden="false" customHeight="false" outlineLevel="0" collapsed="false">
      <c r="A43" s="15" t="s">
        <v>56</v>
      </c>
      <c r="B43" s="16" t="n">
        <f aca="false">SUM(B38:B42)</f>
        <v>35</v>
      </c>
      <c r="C43" s="16" t="n">
        <f aca="false">SUM(C38:C42)</f>
        <v>8</v>
      </c>
      <c r="D43" s="16" t="n">
        <f aca="false">SUM(D38:D42)</f>
        <v>2</v>
      </c>
      <c r="E43" s="17" t="n">
        <f aca="false">SUM(E38:E42)</f>
        <v>0</v>
      </c>
      <c r="F43" s="15"/>
      <c r="G43" s="17" t="n">
        <f aca="false">SUM(G38:G42)</f>
        <v>3405.0351299162</v>
      </c>
      <c r="H43" s="15"/>
    </row>
    <row r="44" customFormat="false" ht="15" hidden="false" customHeight="false" outlineLevel="0" collapsed="false">
      <c r="A44" s="10" t="s">
        <v>57</v>
      </c>
      <c r="B44" s="10"/>
      <c r="C44" s="10"/>
      <c r="D44" s="10"/>
      <c r="E44" s="10"/>
      <c r="F44" s="10"/>
      <c r="G44" s="10"/>
      <c r="H44" s="10"/>
    </row>
    <row r="45" customFormat="false" ht="15" hidden="false" customHeight="false" outlineLevel="0" collapsed="false">
      <c r="A45" s="11" t="s">
        <v>58</v>
      </c>
      <c r="B45" s="12" t="n">
        <v>5</v>
      </c>
      <c r="C45" s="12" t="n">
        <v>1</v>
      </c>
      <c r="D45" s="12" t="n">
        <v>0</v>
      </c>
      <c r="E45" s="13" t="n">
        <v>0</v>
      </c>
      <c r="F45" s="14"/>
      <c r="G45" s="13" t="n">
        <f aca="false">B45*$B$5+C45*$B$6+D45*$B$7+E45</f>
        <v>451.688333560312</v>
      </c>
      <c r="H45" s="14" t="s">
        <v>59</v>
      </c>
    </row>
    <row r="46" customFormat="false" ht="15" hidden="false" customHeight="false" outlineLevel="0" collapsed="false">
      <c r="A46" s="11" t="s">
        <v>60</v>
      </c>
      <c r="B46" s="12" t="n">
        <v>8</v>
      </c>
      <c r="C46" s="12" t="n">
        <v>2</v>
      </c>
      <c r="D46" s="12" t="n">
        <v>0</v>
      </c>
      <c r="E46" s="13" t="n">
        <v>0</v>
      </c>
      <c r="F46" s="14"/>
      <c r="G46" s="13" t="n">
        <f aca="false">B46*$B$5+C46*$B$6+D46*$B$7+E46</f>
        <v>764.395641409758</v>
      </c>
      <c r="H46" s="14" t="s">
        <v>59</v>
      </c>
    </row>
    <row r="47" customFormat="false" ht="15" hidden="false" customHeight="false" outlineLevel="0" collapsed="false">
      <c r="A47" s="11" t="s">
        <v>61</v>
      </c>
      <c r="B47" s="12" t="n">
        <v>10</v>
      </c>
      <c r="C47" s="12" t="n">
        <v>2</v>
      </c>
      <c r="D47" s="12" t="n">
        <v>0</v>
      </c>
      <c r="E47" s="13" t="n">
        <v>0</v>
      </c>
      <c r="F47" s="14"/>
      <c r="G47" s="13" t="n">
        <f aca="false">B47*$B$5+C47*$B$6+D47*$B$7+E47</f>
        <v>903.376667120623</v>
      </c>
      <c r="H47" s="14" t="s">
        <v>59</v>
      </c>
    </row>
    <row r="48" customFormat="false" ht="15" hidden="false" customHeight="false" outlineLevel="0" collapsed="false">
      <c r="A48" s="11" t="s">
        <v>62</v>
      </c>
      <c r="B48" s="12" t="n">
        <v>8</v>
      </c>
      <c r="C48" s="12" t="n">
        <v>2</v>
      </c>
      <c r="D48" s="12" t="n">
        <v>0</v>
      </c>
      <c r="E48" s="13" t="n">
        <v>0</v>
      </c>
      <c r="F48" s="14"/>
      <c r="G48" s="13" t="n">
        <f aca="false">B48*$B$5+C48*$B$6+D48*$B$7+E48</f>
        <v>764.395641409758</v>
      </c>
      <c r="H48" s="14" t="s">
        <v>59</v>
      </c>
    </row>
    <row r="49" customFormat="false" ht="15" hidden="false" customHeight="false" outlineLevel="0" collapsed="false">
      <c r="A49" s="15" t="s">
        <v>63</v>
      </c>
      <c r="B49" s="16" t="n">
        <f aca="false">SUM(B45:B48)</f>
        <v>31</v>
      </c>
      <c r="C49" s="16" t="n">
        <f aca="false">SUM(C45:C48)</f>
        <v>7</v>
      </c>
      <c r="D49" s="16" t="n">
        <f aca="false">SUM(D45:D48)</f>
        <v>0</v>
      </c>
      <c r="E49" s="17" t="n">
        <f aca="false">SUM(E45:E48)</f>
        <v>0</v>
      </c>
      <c r="F49" s="15"/>
      <c r="G49" s="17" t="n">
        <f aca="false">SUM(G45:G48)</f>
        <v>2883.85628350045</v>
      </c>
      <c r="H49" s="15"/>
    </row>
    <row r="50" customFormat="false" ht="15" hidden="false" customHeight="false" outlineLevel="0" collapsed="false">
      <c r="A50" s="10" t="s">
        <v>64</v>
      </c>
      <c r="B50" s="10"/>
      <c r="C50" s="10"/>
      <c r="D50" s="10"/>
      <c r="E50" s="10"/>
      <c r="F50" s="10"/>
      <c r="G50" s="10"/>
      <c r="H50" s="10"/>
    </row>
    <row r="51" customFormat="false" ht="15" hidden="false" customHeight="false" outlineLevel="0" collapsed="false">
      <c r="A51" s="11" t="s">
        <v>65</v>
      </c>
      <c r="B51" s="12" t="n">
        <v>8</v>
      </c>
      <c r="C51" s="12" t="n">
        <v>2</v>
      </c>
      <c r="D51" s="12" t="n">
        <v>0</v>
      </c>
      <c r="E51" s="13" t="n">
        <v>0</v>
      </c>
      <c r="F51" s="14"/>
      <c r="G51" s="13" t="n">
        <f aca="false">B51*$B$5+C51*$B$6+D51*$B$7+E51</f>
        <v>764.395641409758</v>
      </c>
      <c r="H51" s="14" t="s">
        <v>66</v>
      </c>
    </row>
    <row r="52" customFormat="false" ht="15" hidden="false" customHeight="false" outlineLevel="0" collapsed="false">
      <c r="A52" s="11" t="s">
        <v>67</v>
      </c>
      <c r="B52" s="12" t="n">
        <v>6</v>
      </c>
      <c r="C52" s="12" t="n">
        <v>2</v>
      </c>
      <c r="D52" s="12" t="n">
        <v>0</v>
      </c>
      <c r="E52" s="13" t="n">
        <v>0</v>
      </c>
      <c r="F52" s="14"/>
      <c r="G52" s="13" t="n">
        <f aca="false">B52*$B$5+C52*$B$6+D52*$B$7+E52</f>
        <v>625.414615698893</v>
      </c>
      <c r="H52" s="14" t="s">
        <v>66</v>
      </c>
    </row>
    <row r="53" customFormat="false" ht="15" hidden="false" customHeight="false" outlineLevel="0" collapsed="false">
      <c r="A53" s="11" t="s">
        <v>68</v>
      </c>
      <c r="B53" s="12" t="n">
        <v>4</v>
      </c>
      <c r="C53" s="12" t="n">
        <v>1</v>
      </c>
      <c r="D53" s="12" t="n">
        <v>0</v>
      </c>
      <c r="E53" s="13" t="n">
        <v>0</v>
      </c>
      <c r="F53" s="14"/>
      <c r="G53" s="13" t="n">
        <f aca="false">B53*$B$5+C53*$B$6+D53*$B$7+E53</f>
        <v>382.197820704879</v>
      </c>
      <c r="H53" s="14" t="s">
        <v>66</v>
      </c>
    </row>
    <row r="54" customFormat="false" ht="15" hidden="false" customHeight="false" outlineLevel="0" collapsed="false">
      <c r="A54" s="15" t="s">
        <v>69</v>
      </c>
      <c r="B54" s="16" t="n">
        <f aca="false">SUM(B51:B53)</f>
        <v>18</v>
      </c>
      <c r="C54" s="16" t="n">
        <f aca="false">SUM(C51:C53)</f>
        <v>5</v>
      </c>
      <c r="D54" s="16" t="n">
        <f aca="false">SUM(D51:D53)</f>
        <v>0</v>
      </c>
      <c r="E54" s="17" t="n">
        <f aca="false">SUM(E51:E53)</f>
        <v>0</v>
      </c>
      <c r="F54" s="15"/>
      <c r="G54" s="17" t="n">
        <f aca="false">SUM(G51:G53)</f>
        <v>1772.00807781353</v>
      </c>
      <c r="H54" s="15"/>
    </row>
    <row r="55" customFormat="false" ht="15" hidden="false" customHeight="false" outlineLevel="0" collapsed="false">
      <c r="A55" s="9" t="s">
        <v>70</v>
      </c>
      <c r="B55" s="9"/>
      <c r="C55" s="9"/>
      <c r="D55" s="9"/>
      <c r="E55" s="9"/>
      <c r="F55" s="9"/>
      <c r="G55" s="9"/>
      <c r="H55" s="9"/>
    </row>
    <row r="56" customFormat="false" ht="15" hidden="false" customHeight="false" outlineLevel="0" collapsed="false">
      <c r="A56" s="10" t="s">
        <v>71</v>
      </c>
      <c r="B56" s="10"/>
      <c r="C56" s="10"/>
      <c r="D56" s="10"/>
      <c r="E56" s="10"/>
      <c r="F56" s="10"/>
      <c r="G56" s="10"/>
      <c r="H56" s="10"/>
    </row>
    <row r="57" customFormat="false" ht="28.35" hidden="false" customHeight="false" outlineLevel="0" collapsed="false">
      <c r="A57" s="11" t="s">
        <v>72</v>
      </c>
      <c r="B57" s="12" t="n">
        <v>8</v>
      </c>
      <c r="C57" s="12" t="n">
        <v>2</v>
      </c>
      <c r="D57" s="12" t="n">
        <v>1</v>
      </c>
      <c r="E57" s="13" t="n">
        <v>0</v>
      </c>
      <c r="F57" s="14"/>
      <c r="G57" s="13" t="n">
        <f aca="false">B57*$B$5+C57*$B$6+D57*$B$7+E57</f>
        <v>833.886154265191</v>
      </c>
      <c r="H57" s="14" t="s">
        <v>73</v>
      </c>
    </row>
    <row r="58" customFormat="false" ht="15" hidden="false" customHeight="false" outlineLevel="0" collapsed="false">
      <c r="A58" s="11" t="s">
        <v>74</v>
      </c>
      <c r="B58" s="12" t="n">
        <v>5</v>
      </c>
      <c r="C58" s="12" t="n">
        <v>2</v>
      </c>
      <c r="D58" s="12" t="n">
        <v>1</v>
      </c>
      <c r="E58" s="13" t="n">
        <v>0</v>
      </c>
      <c r="F58" s="14"/>
      <c r="G58" s="13" t="n">
        <f aca="false">B58*$B$5+C58*$B$6+D58*$B$7+E58</f>
        <v>625.414615698893</v>
      </c>
      <c r="H58" s="14" t="s">
        <v>73</v>
      </c>
    </row>
    <row r="59" customFormat="false" ht="15" hidden="false" customHeight="false" outlineLevel="0" collapsed="false">
      <c r="A59" s="11" t="s">
        <v>75</v>
      </c>
      <c r="B59" s="12" t="n">
        <v>6</v>
      </c>
      <c r="C59" s="12" t="n">
        <v>1</v>
      </c>
      <c r="D59" s="12" t="n">
        <v>0</v>
      </c>
      <c r="E59" s="13" t="n">
        <v>0</v>
      </c>
      <c r="F59" s="14"/>
      <c r="G59" s="13" t="n">
        <f aca="false">B59*$B$5+C59*$B$6+D59*$B$7+E59</f>
        <v>521.178846415744</v>
      </c>
      <c r="H59" s="14" t="s">
        <v>73</v>
      </c>
    </row>
    <row r="60" customFormat="false" ht="15" hidden="false" customHeight="false" outlineLevel="0" collapsed="false">
      <c r="A60" s="11" t="s">
        <v>76</v>
      </c>
      <c r="B60" s="12" t="n">
        <v>6</v>
      </c>
      <c r="C60" s="12" t="n">
        <v>1</v>
      </c>
      <c r="D60" s="12" t="n">
        <v>0</v>
      </c>
      <c r="E60" s="13" t="n">
        <v>0</v>
      </c>
      <c r="F60" s="14"/>
      <c r="G60" s="13" t="n">
        <f aca="false">B60*$B$5+C60*$B$6+D60*$B$7+E60</f>
        <v>521.178846415744</v>
      </c>
      <c r="H60" s="14" t="s">
        <v>73</v>
      </c>
    </row>
    <row r="61" customFormat="false" ht="15" hidden="false" customHeight="false" outlineLevel="0" collapsed="false">
      <c r="A61" s="11" t="s">
        <v>77</v>
      </c>
      <c r="B61" s="12" t="n">
        <v>7</v>
      </c>
      <c r="C61" s="12" t="n">
        <v>1</v>
      </c>
      <c r="D61" s="12" t="n">
        <v>0</v>
      </c>
      <c r="E61" s="13" t="n">
        <v>0</v>
      </c>
      <c r="F61" s="14"/>
      <c r="G61" s="13" t="n">
        <f aca="false">B61*$B$5+C61*$B$6+D61*$B$7+E61</f>
        <v>590.669359271177</v>
      </c>
      <c r="H61" s="14" t="s">
        <v>73</v>
      </c>
    </row>
    <row r="62" customFormat="false" ht="15" hidden="false" customHeight="false" outlineLevel="0" collapsed="false">
      <c r="A62" s="15" t="s">
        <v>78</v>
      </c>
      <c r="B62" s="16" t="n">
        <f aca="false">SUM(B57:B61)</f>
        <v>32</v>
      </c>
      <c r="C62" s="16" t="n">
        <f aca="false">SUM(C57:C61)</f>
        <v>7</v>
      </c>
      <c r="D62" s="16" t="n">
        <f aca="false">SUM(D57:D61)</f>
        <v>2</v>
      </c>
      <c r="E62" s="17" t="n">
        <f aca="false">SUM(E57:E61)</f>
        <v>0</v>
      </c>
      <c r="F62" s="15"/>
      <c r="G62" s="17" t="n">
        <f aca="false">SUM(G57:G61)</f>
        <v>3092.32782206675</v>
      </c>
      <c r="H62" s="15"/>
    </row>
    <row r="63" customFormat="false" ht="15" hidden="false" customHeight="false" outlineLevel="0" collapsed="false">
      <c r="A63" s="10" t="s">
        <v>79</v>
      </c>
      <c r="B63" s="10"/>
      <c r="C63" s="10"/>
      <c r="D63" s="10"/>
      <c r="E63" s="10"/>
      <c r="F63" s="10"/>
      <c r="G63" s="10"/>
      <c r="H63" s="10"/>
    </row>
    <row r="64" customFormat="false" ht="28.35" hidden="false" customHeight="false" outlineLevel="0" collapsed="false">
      <c r="A64" s="11" t="s">
        <v>80</v>
      </c>
      <c r="B64" s="12" t="n">
        <v>10</v>
      </c>
      <c r="C64" s="12" t="n">
        <v>2</v>
      </c>
      <c r="D64" s="12" t="n">
        <v>1</v>
      </c>
      <c r="E64" s="13" t="n">
        <v>0</v>
      </c>
      <c r="F64" s="14"/>
      <c r="G64" s="13" t="n">
        <f aca="false">B64*$B$5+C64*$B$6+D64*$B$7+E64</f>
        <v>972.867179976056</v>
      </c>
      <c r="H64" s="14" t="s">
        <v>81</v>
      </c>
    </row>
    <row r="65" customFormat="false" ht="28.35" hidden="false" customHeight="false" outlineLevel="0" collapsed="false">
      <c r="A65" s="11" t="s">
        <v>82</v>
      </c>
      <c r="B65" s="12" t="n">
        <v>8</v>
      </c>
      <c r="C65" s="12" t="n">
        <v>2</v>
      </c>
      <c r="D65" s="12" t="n">
        <v>1</v>
      </c>
      <c r="E65" s="13" t="n">
        <v>0</v>
      </c>
      <c r="F65" s="14"/>
      <c r="G65" s="13" t="n">
        <f aca="false">B65*$B$5+C65*$B$6+D65*$B$7+E65</f>
        <v>833.886154265191</v>
      </c>
      <c r="H65" s="14" t="s">
        <v>81</v>
      </c>
    </row>
    <row r="66" customFormat="false" ht="28.35" hidden="false" customHeight="false" outlineLevel="0" collapsed="false">
      <c r="A66" s="11" t="s">
        <v>83</v>
      </c>
      <c r="B66" s="12" t="n">
        <v>6</v>
      </c>
      <c r="C66" s="12" t="n">
        <v>1</v>
      </c>
      <c r="D66" s="12" t="n">
        <v>0</v>
      </c>
      <c r="E66" s="13" t="n">
        <v>0</v>
      </c>
      <c r="F66" s="14"/>
      <c r="G66" s="13" t="n">
        <f aca="false">B66*$B$5+C66*$B$6+D66*$B$7+E66</f>
        <v>521.178846415744</v>
      </c>
      <c r="H66" s="14" t="s">
        <v>81</v>
      </c>
    </row>
    <row r="67" customFormat="false" ht="28.35" hidden="false" customHeight="false" outlineLevel="0" collapsed="false">
      <c r="A67" s="11" t="s">
        <v>84</v>
      </c>
      <c r="B67" s="12" t="n">
        <v>8</v>
      </c>
      <c r="C67" s="12" t="n">
        <v>2</v>
      </c>
      <c r="D67" s="12" t="n">
        <v>1</v>
      </c>
      <c r="E67" s="13" t="n">
        <v>0</v>
      </c>
      <c r="F67" s="14"/>
      <c r="G67" s="13" t="n">
        <f aca="false">B67*$B$5+C67*$B$6+D67*$B$7+E67</f>
        <v>833.886154265191</v>
      </c>
      <c r="H67" s="14" t="s">
        <v>81</v>
      </c>
    </row>
    <row r="68" customFormat="false" ht="15" hidden="false" customHeight="false" outlineLevel="0" collapsed="false">
      <c r="A68" s="15" t="s">
        <v>85</v>
      </c>
      <c r="B68" s="16" t="n">
        <f aca="false">SUM(B64:B67)</f>
        <v>32</v>
      </c>
      <c r="C68" s="16" t="n">
        <f aca="false">SUM(C64:C67)</f>
        <v>7</v>
      </c>
      <c r="D68" s="16" t="n">
        <f aca="false">SUM(D64:D67)</f>
        <v>3</v>
      </c>
      <c r="E68" s="17" t="n">
        <f aca="false">SUM(E64:E67)</f>
        <v>0</v>
      </c>
      <c r="F68" s="15"/>
      <c r="G68" s="17" t="n">
        <f aca="false">SUM(G64:G67)</f>
        <v>3161.81833492218</v>
      </c>
      <c r="H68" s="15"/>
    </row>
    <row r="69" customFormat="false" ht="15" hidden="false" customHeight="false" outlineLevel="0" collapsed="false">
      <c r="A69" s="10" t="s">
        <v>86</v>
      </c>
      <c r="B69" s="10"/>
      <c r="C69" s="10"/>
      <c r="D69" s="10"/>
      <c r="E69" s="10"/>
      <c r="F69" s="10"/>
      <c r="G69" s="10"/>
      <c r="H69" s="10"/>
    </row>
    <row r="70" customFormat="false" ht="28.35" hidden="false" customHeight="false" outlineLevel="0" collapsed="false">
      <c r="A70" s="11" t="s">
        <v>87</v>
      </c>
      <c r="B70" s="12" t="n">
        <v>8</v>
      </c>
      <c r="C70" s="12" t="n">
        <v>2</v>
      </c>
      <c r="D70" s="12" t="n">
        <v>0</v>
      </c>
      <c r="E70" s="13" t="n">
        <v>0</v>
      </c>
      <c r="F70" s="14"/>
      <c r="G70" s="13" t="n">
        <f aca="false">B70*$B$5+C70*$B$6+D70*$B$7+E70</f>
        <v>764.395641409758</v>
      </c>
      <c r="H70" s="14" t="s">
        <v>88</v>
      </c>
    </row>
    <row r="71" customFormat="false" ht="28.35" hidden="false" customHeight="false" outlineLevel="0" collapsed="false">
      <c r="A71" s="11" t="s">
        <v>89</v>
      </c>
      <c r="B71" s="12" t="n">
        <v>6</v>
      </c>
      <c r="C71" s="12" t="n">
        <v>2</v>
      </c>
      <c r="D71" s="12" t="n">
        <v>0</v>
      </c>
      <c r="E71" s="13" t="n">
        <v>0</v>
      </c>
      <c r="F71" s="14"/>
      <c r="G71" s="13" t="n">
        <f aca="false">B71*$B$5+C71*$B$6+D71*$B$7+E71</f>
        <v>625.414615698893</v>
      </c>
      <c r="H71" s="14" t="s">
        <v>88</v>
      </c>
    </row>
    <row r="72" customFormat="false" ht="28.35" hidden="false" customHeight="false" outlineLevel="0" collapsed="false">
      <c r="A72" s="11" t="s">
        <v>90</v>
      </c>
      <c r="B72" s="12" t="n">
        <v>8</v>
      </c>
      <c r="C72" s="12" t="n">
        <v>2</v>
      </c>
      <c r="D72" s="12" t="n">
        <v>1</v>
      </c>
      <c r="E72" s="13" t="n">
        <v>0</v>
      </c>
      <c r="F72" s="14"/>
      <c r="G72" s="13" t="n">
        <f aca="false">B72*$B$5+C72*$B$6+D72*$B$7+E72</f>
        <v>833.886154265191</v>
      </c>
      <c r="H72" s="14" t="s">
        <v>88</v>
      </c>
    </row>
    <row r="73" customFormat="false" ht="15" hidden="false" customHeight="false" outlineLevel="0" collapsed="false">
      <c r="A73" s="15" t="s">
        <v>91</v>
      </c>
      <c r="B73" s="16" t="n">
        <f aca="false">SUM(B70:B72)</f>
        <v>22</v>
      </c>
      <c r="C73" s="16" t="n">
        <f aca="false">SUM(C70:C72)</f>
        <v>6</v>
      </c>
      <c r="D73" s="16" t="n">
        <f aca="false">SUM(D70:D72)</f>
        <v>1</v>
      </c>
      <c r="E73" s="17" t="n">
        <f aca="false">SUM(E70:E72)</f>
        <v>0</v>
      </c>
      <c r="F73" s="15"/>
      <c r="G73" s="17" t="n">
        <f aca="false">SUM(G70:G72)</f>
        <v>2223.69641137384</v>
      </c>
      <c r="H73" s="15"/>
    </row>
    <row r="74" customFormat="false" ht="15" hidden="false" customHeight="false" outlineLevel="0" collapsed="false">
      <c r="A74" s="10" t="s">
        <v>92</v>
      </c>
      <c r="B74" s="10"/>
      <c r="C74" s="10"/>
      <c r="D74" s="10"/>
      <c r="E74" s="10"/>
      <c r="F74" s="10"/>
      <c r="G74" s="10"/>
      <c r="H74" s="10"/>
    </row>
    <row r="75" customFormat="false" ht="28.35" hidden="false" customHeight="false" outlineLevel="0" collapsed="false">
      <c r="A75" s="11" t="s">
        <v>93</v>
      </c>
      <c r="B75" s="12" t="n">
        <v>7</v>
      </c>
      <c r="C75" s="12" t="n">
        <v>2</v>
      </c>
      <c r="D75" s="12" t="n">
        <v>1</v>
      </c>
      <c r="E75" s="13" t="n">
        <v>0</v>
      </c>
      <c r="F75" s="14"/>
      <c r="G75" s="13" t="n">
        <f aca="false">B75*$B$5+C75*$B$6+D75*$B$7+E75</f>
        <v>764.395641409758</v>
      </c>
      <c r="H75" s="14" t="s">
        <v>94</v>
      </c>
    </row>
    <row r="76" customFormat="false" ht="28.35" hidden="false" customHeight="false" outlineLevel="0" collapsed="false">
      <c r="A76" s="11" t="s">
        <v>95</v>
      </c>
      <c r="B76" s="12" t="n">
        <v>8</v>
      </c>
      <c r="C76" s="12" t="n">
        <v>2</v>
      </c>
      <c r="D76" s="12" t="n">
        <v>1</v>
      </c>
      <c r="E76" s="13" t="n">
        <v>0</v>
      </c>
      <c r="F76" s="14"/>
      <c r="G76" s="13" t="n">
        <f aca="false">B76*$B$5+C76*$B$6+D76*$B$7+E76</f>
        <v>833.886154265191</v>
      </c>
      <c r="H76" s="14" t="s">
        <v>94</v>
      </c>
    </row>
    <row r="77" customFormat="false" ht="28.35" hidden="false" customHeight="false" outlineLevel="0" collapsed="false">
      <c r="A77" s="11" t="s">
        <v>96</v>
      </c>
      <c r="B77" s="12" t="n">
        <v>8</v>
      </c>
      <c r="C77" s="12" t="n">
        <v>2</v>
      </c>
      <c r="D77" s="12" t="n">
        <v>1</v>
      </c>
      <c r="E77" s="13" t="n">
        <v>0</v>
      </c>
      <c r="F77" s="14"/>
      <c r="G77" s="13" t="n">
        <f aca="false">B77*$B$5+C77*$B$6+D77*$B$7+E77</f>
        <v>833.886154265191</v>
      </c>
      <c r="H77" s="14" t="s">
        <v>94</v>
      </c>
    </row>
    <row r="78" customFormat="false" ht="15" hidden="false" customHeight="false" outlineLevel="0" collapsed="false">
      <c r="A78" s="15" t="s">
        <v>97</v>
      </c>
      <c r="B78" s="16" t="n">
        <f aca="false">SUM(B75:B77)</f>
        <v>23</v>
      </c>
      <c r="C78" s="16" t="n">
        <f aca="false">SUM(C75:C77)</f>
        <v>6</v>
      </c>
      <c r="D78" s="16" t="n">
        <f aca="false">SUM(D75:D77)</f>
        <v>3</v>
      </c>
      <c r="E78" s="17" t="n">
        <f aca="false">SUM(E75:E77)</f>
        <v>0</v>
      </c>
      <c r="F78" s="15"/>
      <c r="G78" s="17" t="n">
        <f aca="false">SUM(G75:G77)</f>
        <v>2432.16794994014</v>
      </c>
      <c r="H78" s="15"/>
    </row>
    <row r="79" customFormat="false" ht="15" hidden="false" customHeight="false" outlineLevel="0" collapsed="false">
      <c r="A79" s="9" t="s">
        <v>98</v>
      </c>
      <c r="B79" s="9"/>
      <c r="C79" s="9"/>
      <c r="D79" s="9"/>
      <c r="E79" s="9"/>
      <c r="F79" s="9"/>
      <c r="G79" s="9"/>
      <c r="H79" s="9"/>
    </row>
    <row r="80" customFormat="false" ht="15" hidden="false" customHeight="false" outlineLevel="0" collapsed="false">
      <c r="A80" s="10" t="s">
        <v>99</v>
      </c>
      <c r="B80" s="10"/>
      <c r="C80" s="10"/>
      <c r="D80" s="10"/>
      <c r="E80" s="10"/>
      <c r="F80" s="10"/>
      <c r="G80" s="10"/>
      <c r="H80" s="10"/>
    </row>
    <row r="81" customFormat="false" ht="15" hidden="false" customHeight="false" outlineLevel="0" collapsed="false">
      <c r="A81" s="11" t="s">
        <v>100</v>
      </c>
      <c r="B81" s="12" t="n">
        <v>8</v>
      </c>
      <c r="C81" s="12" t="n">
        <v>2</v>
      </c>
      <c r="D81" s="12" t="n">
        <v>1</v>
      </c>
      <c r="E81" s="13" t="n">
        <v>0</v>
      </c>
      <c r="F81" s="14"/>
      <c r="G81" s="13" t="n">
        <f aca="false">B81*$B$5+C81*$B$6+D81*$B$7+E81</f>
        <v>833.886154265191</v>
      </c>
      <c r="H81" s="14" t="s">
        <v>101</v>
      </c>
    </row>
    <row r="82" customFormat="false" ht="15" hidden="false" customHeight="false" outlineLevel="0" collapsed="false">
      <c r="A82" s="11" t="s">
        <v>102</v>
      </c>
      <c r="B82" s="12" t="n">
        <v>10</v>
      </c>
      <c r="C82" s="12" t="n">
        <v>2</v>
      </c>
      <c r="D82" s="12" t="n">
        <v>1</v>
      </c>
      <c r="E82" s="13" t="n">
        <v>0</v>
      </c>
      <c r="F82" s="14"/>
      <c r="G82" s="13" t="n">
        <f aca="false">B82*$B$5+C82*$B$6+D82*$B$7+E82</f>
        <v>972.867179976056</v>
      </c>
      <c r="H82" s="14" t="s">
        <v>101</v>
      </c>
    </row>
    <row r="83" customFormat="false" ht="15" hidden="false" customHeight="false" outlineLevel="0" collapsed="false">
      <c r="A83" s="11" t="s">
        <v>103</v>
      </c>
      <c r="B83" s="12" t="n">
        <v>10</v>
      </c>
      <c r="C83" s="12" t="n">
        <v>3</v>
      </c>
      <c r="D83" s="12" t="n">
        <v>1</v>
      </c>
      <c r="E83" s="13" t="n">
        <v>0</v>
      </c>
      <c r="F83" s="14"/>
      <c r="G83" s="13" t="n">
        <f aca="false">B83*$B$5+C83*$B$6+D83*$B$7+E83</f>
        <v>1077.1029492592</v>
      </c>
      <c r="H83" s="14" t="s">
        <v>101</v>
      </c>
    </row>
    <row r="84" customFormat="false" ht="15" hidden="false" customHeight="false" outlineLevel="0" collapsed="false">
      <c r="A84" s="15" t="s">
        <v>104</v>
      </c>
      <c r="B84" s="16" t="n">
        <f aca="false">SUM(B81:B83)</f>
        <v>28</v>
      </c>
      <c r="C84" s="16" t="n">
        <f aca="false">SUM(C81:C83)</f>
        <v>7</v>
      </c>
      <c r="D84" s="16" t="n">
        <f aca="false">SUM(D81:D83)</f>
        <v>3</v>
      </c>
      <c r="E84" s="17" t="n">
        <f aca="false">SUM(E81:E83)</f>
        <v>0</v>
      </c>
      <c r="F84" s="15"/>
      <c r="G84" s="17" t="n">
        <f aca="false">SUM(G81:G83)</f>
        <v>2883.85628350045</v>
      </c>
      <c r="H84" s="15"/>
    </row>
    <row r="85" customFormat="false" ht="15" hidden="false" customHeight="false" outlineLevel="0" collapsed="false">
      <c r="A85" s="10" t="s">
        <v>105</v>
      </c>
      <c r="B85" s="10"/>
      <c r="C85" s="10"/>
      <c r="D85" s="10"/>
      <c r="E85" s="10"/>
      <c r="F85" s="10"/>
      <c r="G85" s="10"/>
      <c r="H85" s="10"/>
    </row>
    <row r="86" customFormat="false" ht="15" hidden="false" customHeight="false" outlineLevel="0" collapsed="false">
      <c r="A86" s="11" t="s">
        <v>106</v>
      </c>
      <c r="B86" s="12" t="n">
        <v>12</v>
      </c>
      <c r="C86" s="12" t="n">
        <v>2</v>
      </c>
      <c r="D86" s="12" t="n">
        <v>0</v>
      </c>
      <c r="E86" s="13" t="n">
        <v>0</v>
      </c>
      <c r="F86" s="14"/>
      <c r="G86" s="13" t="n">
        <f aca="false">B86*$B$5+C86*$B$6+D86*$B$7+E86</f>
        <v>1042.35769283149</v>
      </c>
      <c r="H86" s="14" t="s">
        <v>107</v>
      </c>
    </row>
    <row r="87" customFormat="false" ht="15" hidden="false" customHeight="false" outlineLevel="0" collapsed="false">
      <c r="A87" s="11" t="s">
        <v>108</v>
      </c>
      <c r="B87" s="12" t="n">
        <v>6</v>
      </c>
      <c r="C87" s="12" t="n">
        <v>1</v>
      </c>
      <c r="D87" s="12" t="n">
        <v>0</v>
      </c>
      <c r="E87" s="13" t="n">
        <v>0</v>
      </c>
      <c r="F87" s="14"/>
      <c r="G87" s="13" t="n">
        <f aca="false">B87*$B$5+C87*$B$6+D87*$B$7+E87</f>
        <v>521.178846415744</v>
      </c>
      <c r="H87" s="14" t="s">
        <v>107</v>
      </c>
    </row>
    <row r="88" customFormat="false" ht="28.35" hidden="false" customHeight="false" outlineLevel="0" collapsed="false">
      <c r="A88" s="11" t="s">
        <v>109</v>
      </c>
      <c r="B88" s="12" t="n">
        <v>12</v>
      </c>
      <c r="C88" s="12" t="n">
        <v>2</v>
      </c>
      <c r="D88" s="12" t="n">
        <v>1</v>
      </c>
      <c r="E88" s="13" t="n">
        <v>0</v>
      </c>
      <c r="F88" s="14"/>
      <c r="G88" s="13" t="n">
        <f aca="false">B88*$B$5+C88*$B$6+D88*$B$7+E88</f>
        <v>1111.84820568692</v>
      </c>
      <c r="H88" s="14" t="s">
        <v>107</v>
      </c>
    </row>
    <row r="89" customFormat="false" ht="15" hidden="false" customHeight="false" outlineLevel="0" collapsed="false">
      <c r="A89" s="15" t="s">
        <v>110</v>
      </c>
      <c r="B89" s="16" t="n">
        <f aca="false">SUM(B86:B88)</f>
        <v>30</v>
      </c>
      <c r="C89" s="16" t="n">
        <f aca="false">SUM(C86:C88)</f>
        <v>5</v>
      </c>
      <c r="D89" s="16" t="n">
        <f aca="false">SUM(D86:D88)</f>
        <v>1</v>
      </c>
      <c r="E89" s="17" t="n">
        <f aca="false">SUM(E86:E88)</f>
        <v>0</v>
      </c>
      <c r="F89" s="15"/>
      <c r="G89" s="17" t="n">
        <f aca="false">SUM(G86:G88)</f>
        <v>2675.38474493415</v>
      </c>
      <c r="H89" s="15"/>
    </row>
    <row r="90" customFormat="false" ht="15" hidden="false" customHeight="false" outlineLevel="0" collapsed="false">
      <c r="A90" s="10" t="s">
        <v>111</v>
      </c>
      <c r="B90" s="10"/>
      <c r="C90" s="10"/>
      <c r="D90" s="10"/>
      <c r="E90" s="10"/>
      <c r="F90" s="10"/>
      <c r="G90" s="10"/>
      <c r="H90" s="10"/>
    </row>
    <row r="91" customFormat="false" ht="15" hidden="false" customHeight="false" outlineLevel="0" collapsed="false">
      <c r="A91" s="11" t="s">
        <v>112</v>
      </c>
      <c r="B91" s="12" t="n">
        <v>10</v>
      </c>
      <c r="C91" s="12" t="n">
        <v>2</v>
      </c>
      <c r="D91" s="12" t="n">
        <v>0</v>
      </c>
      <c r="E91" s="13" t="n">
        <v>0</v>
      </c>
      <c r="F91" s="14"/>
      <c r="G91" s="13" t="n">
        <f aca="false">B91*$B$5+C91*$B$6+D91*$B$7+E91</f>
        <v>903.376667120623</v>
      </c>
      <c r="H91" s="14" t="s">
        <v>113</v>
      </c>
    </row>
    <row r="92" customFormat="false" ht="15" hidden="false" customHeight="false" outlineLevel="0" collapsed="false">
      <c r="A92" s="11" t="s">
        <v>114</v>
      </c>
      <c r="B92" s="12" t="n">
        <v>10</v>
      </c>
      <c r="C92" s="12" t="n">
        <v>2</v>
      </c>
      <c r="D92" s="12" t="n">
        <v>0</v>
      </c>
      <c r="E92" s="13" t="n">
        <v>0</v>
      </c>
      <c r="F92" s="14"/>
      <c r="G92" s="13" t="n">
        <f aca="false">B92*$B$5+C92*$B$6+D92*$B$7+E92</f>
        <v>903.376667120623</v>
      </c>
      <c r="H92" s="14" t="s">
        <v>113</v>
      </c>
    </row>
    <row r="93" customFormat="false" ht="15" hidden="false" customHeight="false" outlineLevel="0" collapsed="false">
      <c r="A93" s="11" t="s">
        <v>115</v>
      </c>
      <c r="B93" s="12" t="n">
        <v>8</v>
      </c>
      <c r="C93" s="12" t="n">
        <v>1</v>
      </c>
      <c r="D93" s="12" t="n">
        <v>0</v>
      </c>
      <c r="E93" s="13" t="n">
        <v>0</v>
      </c>
      <c r="F93" s="14"/>
      <c r="G93" s="13" t="n">
        <f aca="false">B93*$B$5+C93*$B$6+D93*$B$7+E93</f>
        <v>660.159872126609</v>
      </c>
      <c r="H93" s="14" t="s">
        <v>113</v>
      </c>
    </row>
    <row r="94" customFormat="false" ht="15" hidden="false" customHeight="false" outlineLevel="0" collapsed="false">
      <c r="A94" s="15" t="s">
        <v>116</v>
      </c>
      <c r="B94" s="16" t="n">
        <f aca="false">SUM(B91:B93)</f>
        <v>28</v>
      </c>
      <c r="C94" s="16" t="n">
        <f aca="false">SUM(C91:C93)</f>
        <v>5</v>
      </c>
      <c r="D94" s="16" t="n">
        <f aca="false">SUM(D91:D93)</f>
        <v>0</v>
      </c>
      <c r="E94" s="17" t="n">
        <f aca="false">SUM(E91:E93)</f>
        <v>0</v>
      </c>
      <c r="F94" s="15"/>
      <c r="G94" s="17" t="n">
        <f aca="false">SUM(G91:G93)</f>
        <v>2466.91320636786</v>
      </c>
      <c r="H94" s="15"/>
    </row>
    <row r="95" customFormat="false" ht="15" hidden="false" customHeight="false" outlineLevel="0" collapsed="false">
      <c r="A95" s="10" t="s">
        <v>117</v>
      </c>
      <c r="B95" s="10"/>
      <c r="C95" s="10"/>
      <c r="D95" s="10"/>
      <c r="E95" s="10"/>
      <c r="F95" s="10"/>
      <c r="G95" s="10"/>
      <c r="H95" s="10"/>
    </row>
    <row r="96" customFormat="false" ht="15" hidden="false" customHeight="false" outlineLevel="0" collapsed="false">
      <c r="A96" s="11" t="s">
        <v>118</v>
      </c>
      <c r="B96" s="12" t="n">
        <v>10</v>
      </c>
      <c r="C96" s="12" t="n">
        <v>3</v>
      </c>
      <c r="D96" s="12" t="n">
        <v>0</v>
      </c>
      <c r="E96" s="13" t="n">
        <v>0</v>
      </c>
      <c r="F96" s="14"/>
      <c r="G96" s="13" t="n">
        <f aca="false">B96*$B$5+C96*$B$6+D96*$B$7+E96</f>
        <v>1007.61243640377</v>
      </c>
      <c r="H96" s="14" t="s">
        <v>119</v>
      </c>
    </row>
    <row r="97" customFormat="false" ht="15" hidden="false" customHeight="false" outlineLevel="0" collapsed="false">
      <c r="A97" s="11" t="s">
        <v>120</v>
      </c>
      <c r="B97" s="12" t="n">
        <v>8</v>
      </c>
      <c r="C97" s="12" t="n">
        <v>2</v>
      </c>
      <c r="D97" s="12" t="n">
        <v>1</v>
      </c>
      <c r="E97" s="13" t="n">
        <v>0</v>
      </c>
      <c r="F97" s="14"/>
      <c r="G97" s="13" t="n">
        <f aca="false">B97*$B$5+C97*$B$6+D97*$B$7+E97</f>
        <v>833.886154265191</v>
      </c>
      <c r="H97" s="14" t="s">
        <v>119</v>
      </c>
    </row>
    <row r="98" customFormat="false" ht="15" hidden="false" customHeight="false" outlineLevel="0" collapsed="false">
      <c r="A98" s="11" t="s">
        <v>121</v>
      </c>
      <c r="B98" s="12" t="n">
        <v>3</v>
      </c>
      <c r="C98" s="12" t="n">
        <v>1</v>
      </c>
      <c r="D98" s="12" t="n">
        <v>4</v>
      </c>
      <c r="E98" s="13" t="n">
        <v>0</v>
      </c>
      <c r="F98" s="14"/>
      <c r="G98" s="13" t="n">
        <f aca="false">B98*$B$5+C98*$B$6+D98*$B$7+E98</f>
        <v>590.669359271177</v>
      </c>
      <c r="H98" s="14" t="s">
        <v>119</v>
      </c>
    </row>
    <row r="99" customFormat="false" ht="15" hidden="false" customHeight="false" outlineLevel="0" collapsed="false">
      <c r="A99" s="15" t="s">
        <v>122</v>
      </c>
      <c r="B99" s="16" t="n">
        <f aca="false">SUM(B96:B98)</f>
        <v>21</v>
      </c>
      <c r="C99" s="16" t="n">
        <f aca="false">SUM(C96:C98)</f>
        <v>6</v>
      </c>
      <c r="D99" s="16" t="n">
        <f aca="false">SUM(D96:D98)</f>
        <v>5</v>
      </c>
      <c r="E99" s="17" t="n">
        <f aca="false">SUM(E96:E98)</f>
        <v>0</v>
      </c>
      <c r="F99" s="15"/>
      <c r="G99" s="17" t="n">
        <f aca="false">SUM(G96:G98)</f>
        <v>2432.16794994014</v>
      </c>
      <c r="H99" s="15"/>
    </row>
    <row r="100" customFormat="false" ht="15" hidden="false" customHeight="false" outlineLevel="0" collapsed="false">
      <c r="A100" s="9" t="s">
        <v>123</v>
      </c>
      <c r="B100" s="9"/>
      <c r="C100" s="9"/>
      <c r="D100" s="9"/>
      <c r="E100" s="9"/>
      <c r="F100" s="9"/>
      <c r="G100" s="9"/>
      <c r="H100" s="9"/>
    </row>
    <row r="101" customFormat="false" ht="15" hidden="false" customHeight="false" outlineLevel="0" collapsed="false">
      <c r="A101" s="10" t="s">
        <v>124</v>
      </c>
      <c r="B101" s="10"/>
      <c r="C101" s="10"/>
      <c r="D101" s="10"/>
      <c r="E101" s="10"/>
      <c r="F101" s="10"/>
      <c r="G101" s="10"/>
      <c r="H101" s="10"/>
    </row>
    <row r="102" customFormat="false" ht="28.35" hidden="false" customHeight="false" outlineLevel="0" collapsed="false">
      <c r="A102" s="11" t="s">
        <v>125</v>
      </c>
      <c r="B102" s="12" t="n">
        <v>8</v>
      </c>
      <c r="C102" s="12" t="n">
        <v>3</v>
      </c>
      <c r="D102" s="12" t="n">
        <v>2</v>
      </c>
      <c r="E102" s="13" t="n">
        <v>0</v>
      </c>
      <c r="F102" s="14"/>
      <c r="G102" s="13" t="n">
        <f aca="false">B102*$B$5+C102*$B$6+D102*$B$7+E102</f>
        <v>1007.61243640377</v>
      </c>
      <c r="H102" s="14" t="s">
        <v>126</v>
      </c>
    </row>
    <row r="103" customFormat="false" ht="28.35" hidden="false" customHeight="false" outlineLevel="0" collapsed="false">
      <c r="A103" s="11" t="s">
        <v>127</v>
      </c>
      <c r="B103" s="12" t="n">
        <v>10</v>
      </c>
      <c r="C103" s="12" t="n">
        <v>2</v>
      </c>
      <c r="D103" s="12" t="n">
        <v>1</v>
      </c>
      <c r="E103" s="13" t="n">
        <v>0</v>
      </c>
      <c r="F103" s="14"/>
      <c r="G103" s="13" t="n">
        <f aca="false">B103*$B$5+C103*$B$6+D103*$B$7+E103</f>
        <v>972.867179976056</v>
      </c>
      <c r="H103" s="14" t="s">
        <v>126</v>
      </c>
    </row>
    <row r="104" customFormat="false" ht="28.35" hidden="false" customHeight="false" outlineLevel="0" collapsed="false">
      <c r="A104" s="11" t="s">
        <v>128</v>
      </c>
      <c r="B104" s="12" t="n">
        <v>10</v>
      </c>
      <c r="C104" s="12" t="n">
        <v>2</v>
      </c>
      <c r="D104" s="12" t="n">
        <v>1</v>
      </c>
      <c r="E104" s="13" t="n">
        <v>0</v>
      </c>
      <c r="F104" s="14"/>
      <c r="G104" s="13" t="n">
        <f aca="false">B104*$B$5+C104*$B$6+D104*$B$7+E104</f>
        <v>972.867179976056</v>
      </c>
      <c r="H104" s="14" t="s">
        <v>126</v>
      </c>
    </row>
    <row r="105" customFormat="false" ht="15" hidden="false" customHeight="false" outlineLevel="0" collapsed="false">
      <c r="A105" s="15" t="s">
        <v>129</v>
      </c>
      <c r="B105" s="16" t="n">
        <f aca="false">SUM(B102:B104)</f>
        <v>28</v>
      </c>
      <c r="C105" s="16" t="n">
        <f aca="false">SUM(C102:C104)</f>
        <v>7</v>
      </c>
      <c r="D105" s="16" t="n">
        <f aca="false">SUM(D102:D104)</f>
        <v>4</v>
      </c>
      <c r="E105" s="17" t="n">
        <f aca="false">SUM(E102:E104)</f>
        <v>0</v>
      </c>
      <c r="F105" s="15"/>
      <c r="G105" s="17" t="n">
        <f aca="false">SUM(G102:G104)</f>
        <v>2953.34679635588</v>
      </c>
      <c r="H105" s="15"/>
    </row>
    <row r="106" customFormat="false" ht="15" hidden="false" customHeight="false" outlineLevel="0" collapsed="false">
      <c r="A106" s="10" t="s">
        <v>130</v>
      </c>
      <c r="B106" s="10"/>
      <c r="C106" s="10"/>
      <c r="D106" s="10"/>
      <c r="E106" s="10"/>
      <c r="F106" s="10"/>
      <c r="G106" s="10"/>
      <c r="H106" s="10"/>
    </row>
    <row r="107" customFormat="false" ht="28.35" hidden="false" customHeight="false" outlineLevel="0" collapsed="false">
      <c r="A107" s="11" t="s">
        <v>131</v>
      </c>
      <c r="B107" s="12" t="n">
        <v>8</v>
      </c>
      <c r="C107" s="12" t="n">
        <v>2</v>
      </c>
      <c r="D107" s="12" t="n">
        <v>0</v>
      </c>
      <c r="E107" s="13" t="n">
        <v>0</v>
      </c>
      <c r="F107" s="14"/>
      <c r="G107" s="13" t="n">
        <f aca="false">B107*$B$5+C107*$B$6+D107*$B$7+E107</f>
        <v>764.395641409758</v>
      </c>
      <c r="H107" s="14" t="s">
        <v>132</v>
      </c>
    </row>
    <row r="108" customFormat="false" ht="28.35" hidden="false" customHeight="false" outlineLevel="0" collapsed="false">
      <c r="A108" s="11" t="s">
        <v>133</v>
      </c>
      <c r="B108" s="12" t="n">
        <v>6</v>
      </c>
      <c r="C108" s="12" t="n">
        <v>2</v>
      </c>
      <c r="D108" s="12" t="n">
        <v>0</v>
      </c>
      <c r="E108" s="13" t="n">
        <v>0</v>
      </c>
      <c r="F108" s="14"/>
      <c r="G108" s="13" t="n">
        <f aca="false">B108*$B$5+C108*$B$6+D108*$B$7+E108</f>
        <v>625.414615698893</v>
      </c>
      <c r="H108" s="14" t="s">
        <v>132</v>
      </c>
    </row>
    <row r="109" customFormat="false" ht="15" hidden="false" customHeight="false" outlineLevel="0" collapsed="false">
      <c r="A109" s="15" t="s">
        <v>134</v>
      </c>
      <c r="B109" s="16" t="n">
        <f aca="false">SUM(B107:B108)</f>
        <v>14</v>
      </c>
      <c r="C109" s="16" t="n">
        <f aca="false">SUM(C107:C108)</f>
        <v>4</v>
      </c>
      <c r="D109" s="16" t="n">
        <f aca="false">SUM(D107:D108)</f>
        <v>0</v>
      </c>
      <c r="E109" s="17" t="n">
        <f aca="false">SUM(E107:E108)</f>
        <v>0</v>
      </c>
      <c r="F109" s="15"/>
      <c r="G109" s="17" t="n">
        <f aca="false">SUM(G107:G108)</f>
        <v>1389.81025710865</v>
      </c>
      <c r="H109" s="15"/>
    </row>
    <row r="110" customFormat="false" ht="15" hidden="false" customHeight="false" outlineLevel="0" collapsed="false">
      <c r="A110" s="10" t="s">
        <v>135</v>
      </c>
      <c r="B110" s="10"/>
      <c r="C110" s="10"/>
      <c r="D110" s="10"/>
      <c r="E110" s="10"/>
      <c r="F110" s="10"/>
      <c r="G110" s="10"/>
      <c r="H110" s="10"/>
    </row>
    <row r="111" customFormat="false" ht="15" hidden="false" customHeight="false" outlineLevel="0" collapsed="false">
      <c r="A111" s="11" t="s">
        <v>136</v>
      </c>
      <c r="B111" s="12" t="n">
        <v>6</v>
      </c>
      <c r="C111" s="12" t="n">
        <v>1</v>
      </c>
      <c r="D111" s="12" t="n">
        <v>0</v>
      </c>
      <c r="E111" s="13" t="n">
        <v>0</v>
      </c>
      <c r="F111" s="14"/>
      <c r="G111" s="13" t="n">
        <f aca="false">B111*$B$5+C111*$B$6+D111*$B$7+E111</f>
        <v>521.178846415744</v>
      </c>
      <c r="H111" s="14" t="s">
        <v>137</v>
      </c>
    </row>
    <row r="112" customFormat="false" ht="28.35" hidden="false" customHeight="false" outlineLevel="0" collapsed="false">
      <c r="A112" s="11" t="s">
        <v>138</v>
      </c>
      <c r="B112" s="12" t="n">
        <v>8</v>
      </c>
      <c r="C112" s="12" t="n">
        <v>1</v>
      </c>
      <c r="D112" s="12" t="n">
        <v>0</v>
      </c>
      <c r="E112" s="13" t="n">
        <v>0</v>
      </c>
      <c r="F112" s="14"/>
      <c r="G112" s="13" t="n">
        <f aca="false">B112*$B$5+C112*$B$6+D112*$B$7+E112</f>
        <v>660.159872126609</v>
      </c>
      <c r="H112" s="14" t="s">
        <v>137</v>
      </c>
    </row>
    <row r="113" customFormat="false" ht="15" hidden="false" customHeight="false" outlineLevel="0" collapsed="false">
      <c r="A113" s="15" t="s">
        <v>139</v>
      </c>
      <c r="B113" s="16" t="n">
        <f aca="false">SUM(B111:B112)</f>
        <v>14</v>
      </c>
      <c r="C113" s="16" t="n">
        <f aca="false">SUM(C111:C112)</f>
        <v>2</v>
      </c>
      <c r="D113" s="16" t="n">
        <f aca="false">SUM(D111:D112)</f>
        <v>0</v>
      </c>
      <c r="E113" s="17" t="n">
        <f aca="false">SUM(E111:E112)</f>
        <v>0</v>
      </c>
      <c r="F113" s="15"/>
      <c r="G113" s="17" t="n">
        <f aca="false">SUM(G111:G112)</f>
        <v>1181.33871854235</v>
      </c>
      <c r="H113" s="15"/>
    </row>
    <row r="114" customFormat="false" ht="15" hidden="false" customHeight="false" outlineLevel="0" collapsed="false">
      <c r="A114" s="9" t="s">
        <v>140</v>
      </c>
      <c r="B114" s="9"/>
      <c r="C114" s="9"/>
      <c r="D114" s="9"/>
      <c r="E114" s="9"/>
      <c r="F114" s="9"/>
      <c r="G114" s="9"/>
      <c r="H114" s="9"/>
    </row>
    <row r="115" customFormat="false" ht="15" hidden="false" customHeight="false" outlineLevel="0" collapsed="false">
      <c r="A115" s="10" t="s">
        <v>141</v>
      </c>
      <c r="B115" s="10"/>
      <c r="C115" s="10"/>
      <c r="D115" s="10"/>
      <c r="E115" s="10"/>
      <c r="F115" s="10"/>
      <c r="G115" s="10"/>
      <c r="H115" s="10"/>
    </row>
    <row r="116" customFormat="false" ht="15" hidden="false" customHeight="false" outlineLevel="0" collapsed="false">
      <c r="A116" s="11" t="s">
        <v>142</v>
      </c>
      <c r="B116" s="12" t="n">
        <v>6</v>
      </c>
      <c r="C116" s="12" t="n">
        <v>2</v>
      </c>
      <c r="D116" s="12" t="n">
        <v>0</v>
      </c>
      <c r="E116" s="13" t="n">
        <v>0</v>
      </c>
      <c r="F116" s="14"/>
      <c r="G116" s="13" t="n">
        <f aca="false">B116*$B$5+C116*$B$6+D116*$B$7+E116</f>
        <v>625.414615698893</v>
      </c>
      <c r="H116" s="14" t="s">
        <v>143</v>
      </c>
    </row>
    <row r="117" customFormat="false" ht="15" hidden="false" customHeight="false" outlineLevel="0" collapsed="false">
      <c r="A117" s="11" t="s">
        <v>144</v>
      </c>
      <c r="B117" s="12" t="n">
        <v>6</v>
      </c>
      <c r="C117" s="12" t="n">
        <v>2</v>
      </c>
      <c r="D117" s="12" t="n">
        <v>0</v>
      </c>
      <c r="E117" s="13" t="n">
        <v>0</v>
      </c>
      <c r="F117" s="14"/>
      <c r="G117" s="13" t="n">
        <f aca="false">B117*$B$5+C117*$B$6+D117*$B$7+E117</f>
        <v>625.414615698893</v>
      </c>
      <c r="H117" s="14" t="s">
        <v>143</v>
      </c>
    </row>
    <row r="118" customFormat="false" ht="15" hidden="false" customHeight="false" outlineLevel="0" collapsed="false">
      <c r="A118" s="11" t="s">
        <v>145</v>
      </c>
      <c r="B118" s="12" t="n">
        <v>8</v>
      </c>
      <c r="C118" s="12" t="n">
        <v>2</v>
      </c>
      <c r="D118" s="12" t="n">
        <v>0</v>
      </c>
      <c r="E118" s="13" t="n">
        <v>0</v>
      </c>
      <c r="F118" s="14"/>
      <c r="G118" s="13" t="n">
        <f aca="false">B118*$B$5+C118*$B$6+D118*$B$7+E118</f>
        <v>764.395641409758</v>
      </c>
      <c r="H118" s="14" t="s">
        <v>143</v>
      </c>
    </row>
    <row r="119" customFormat="false" ht="15" hidden="false" customHeight="false" outlineLevel="0" collapsed="false">
      <c r="A119" s="15" t="s">
        <v>146</v>
      </c>
      <c r="B119" s="16" t="n">
        <f aca="false">SUM(B116:B118)</f>
        <v>20</v>
      </c>
      <c r="C119" s="16" t="n">
        <f aca="false">SUM(C116:C118)</f>
        <v>6</v>
      </c>
      <c r="D119" s="16" t="n">
        <f aca="false">SUM(D116:D118)</f>
        <v>0</v>
      </c>
      <c r="E119" s="17" t="n">
        <f aca="false">SUM(E116:E118)</f>
        <v>0</v>
      </c>
      <c r="F119" s="15"/>
      <c r="G119" s="17" t="n">
        <f aca="false">SUM(G116:G118)</f>
        <v>2015.22487280754</v>
      </c>
      <c r="H119" s="15"/>
    </row>
    <row r="120" customFormat="false" ht="15" hidden="false" customHeight="false" outlineLevel="0" collapsed="false">
      <c r="A120" s="10" t="s">
        <v>147</v>
      </c>
      <c r="B120" s="10"/>
      <c r="C120" s="10"/>
      <c r="D120" s="10"/>
      <c r="E120" s="10"/>
      <c r="F120" s="10"/>
      <c r="G120" s="10"/>
      <c r="H120" s="10"/>
    </row>
    <row r="121" customFormat="false" ht="28.35" hidden="false" customHeight="false" outlineLevel="0" collapsed="false">
      <c r="A121" s="11" t="s">
        <v>148</v>
      </c>
      <c r="B121" s="12" t="n">
        <v>5</v>
      </c>
      <c r="C121" s="12" t="n">
        <v>1</v>
      </c>
      <c r="D121" s="12" t="n">
        <v>0</v>
      </c>
      <c r="E121" s="13" t="n">
        <v>0</v>
      </c>
      <c r="F121" s="14"/>
      <c r="G121" s="13" t="n">
        <f aca="false">B121*$B$5+C121*$B$6+D121*$B$7+E121</f>
        <v>451.688333560312</v>
      </c>
      <c r="H121" s="14" t="s">
        <v>149</v>
      </c>
    </row>
    <row r="122" customFormat="false" ht="28.35" hidden="false" customHeight="false" outlineLevel="0" collapsed="false">
      <c r="A122" s="11" t="s">
        <v>150</v>
      </c>
      <c r="B122" s="12" t="n">
        <v>5</v>
      </c>
      <c r="C122" s="12" t="n">
        <v>2</v>
      </c>
      <c r="D122" s="12" t="n">
        <v>1</v>
      </c>
      <c r="E122" s="13" t="n">
        <v>0</v>
      </c>
      <c r="F122" s="14"/>
      <c r="G122" s="13" t="n">
        <f aca="false">B122*$B$5+C122*$B$6+D122*$B$7+E122</f>
        <v>625.414615698893</v>
      </c>
      <c r="H122" s="14" t="s">
        <v>149</v>
      </c>
    </row>
    <row r="123" customFormat="false" ht="28.35" hidden="false" customHeight="false" outlineLevel="0" collapsed="false">
      <c r="A123" s="11" t="s">
        <v>151</v>
      </c>
      <c r="B123" s="12" t="n">
        <v>5</v>
      </c>
      <c r="C123" s="12" t="n">
        <v>2</v>
      </c>
      <c r="D123" s="12" t="n">
        <v>1</v>
      </c>
      <c r="E123" s="13" t="n">
        <v>0</v>
      </c>
      <c r="F123" s="14"/>
      <c r="G123" s="13" t="n">
        <f aca="false">B123*$B$5+C123*$B$6+D123*$B$7+E123</f>
        <v>625.414615698893</v>
      </c>
      <c r="H123" s="14" t="s">
        <v>149</v>
      </c>
    </row>
    <row r="124" customFormat="false" ht="15" hidden="false" customHeight="false" outlineLevel="0" collapsed="false">
      <c r="A124" s="15" t="s">
        <v>152</v>
      </c>
      <c r="B124" s="16" t="n">
        <f aca="false">SUM(B121:B123)</f>
        <v>15</v>
      </c>
      <c r="C124" s="16" t="n">
        <f aca="false">SUM(C121:C123)</f>
        <v>5</v>
      </c>
      <c r="D124" s="16" t="n">
        <f aca="false">SUM(D121:D123)</f>
        <v>2</v>
      </c>
      <c r="E124" s="17" t="n">
        <f aca="false">SUM(E121:E123)</f>
        <v>0</v>
      </c>
      <c r="F124" s="15"/>
      <c r="G124" s="17" t="n">
        <f aca="false">SUM(G121:G123)</f>
        <v>1702.5175649581</v>
      </c>
      <c r="H124" s="15"/>
    </row>
    <row r="125" customFormat="false" ht="15" hidden="false" customHeight="false" outlineLevel="0" collapsed="false">
      <c r="A125" s="9" t="s">
        <v>153</v>
      </c>
      <c r="B125" s="9"/>
      <c r="C125" s="9"/>
      <c r="D125" s="9"/>
      <c r="E125" s="9"/>
      <c r="F125" s="9"/>
      <c r="G125" s="9"/>
      <c r="H125" s="9"/>
    </row>
    <row r="126" customFormat="false" ht="15" hidden="false" customHeight="false" outlineLevel="0" collapsed="false">
      <c r="A126" s="10" t="s">
        <v>154</v>
      </c>
      <c r="B126" s="10"/>
      <c r="C126" s="10"/>
      <c r="D126" s="10"/>
      <c r="E126" s="10"/>
      <c r="F126" s="10"/>
      <c r="G126" s="10"/>
      <c r="H126" s="10"/>
    </row>
    <row r="127" customFormat="false" ht="15" hidden="false" customHeight="false" outlineLevel="0" collapsed="false">
      <c r="A127" s="11" t="s">
        <v>155</v>
      </c>
      <c r="B127" s="12" t="n">
        <v>3</v>
      </c>
      <c r="C127" s="12" t="n">
        <v>4</v>
      </c>
      <c r="D127" s="12" t="n">
        <v>2</v>
      </c>
      <c r="E127" s="13" t="n">
        <v>0</v>
      </c>
      <c r="F127" s="14"/>
      <c r="G127" s="13" t="n">
        <f aca="false">B127*$B$5+C127*$B$6+D127*$B$7+E127</f>
        <v>764.395641409758</v>
      </c>
      <c r="H127" s="14" t="s">
        <v>156</v>
      </c>
    </row>
    <row r="128" customFormat="false" ht="15" hidden="false" customHeight="false" outlineLevel="0" collapsed="false">
      <c r="A128" s="11" t="s">
        <v>157</v>
      </c>
      <c r="B128" s="12" t="n">
        <v>8</v>
      </c>
      <c r="C128" s="12" t="n">
        <v>2</v>
      </c>
      <c r="D128" s="12" t="n">
        <v>1</v>
      </c>
      <c r="E128" s="13" t="n">
        <v>0</v>
      </c>
      <c r="F128" s="14"/>
      <c r="G128" s="13" t="n">
        <f aca="false">B128*$B$5+C128*$B$6+D128*$B$7+E128</f>
        <v>833.886154265191</v>
      </c>
      <c r="H128" s="14" t="s">
        <v>156</v>
      </c>
    </row>
    <row r="129" customFormat="false" ht="15" hidden="false" customHeight="false" outlineLevel="0" collapsed="false">
      <c r="A129" s="11" t="s">
        <v>158</v>
      </c>
      <c r="B129" s="12" t="n">
        <v>5</v>
      </c>
      <c r="C129" s="12" t="n">
        <v>2</v>
      </c>
      <c r="D129" s="12" t="n">
        <v>1</v>
      </c>
      <c r="E129" s="13" t="n">
        <v>0</v>
      </c>
      <c r="F129" s="14"/>
      <c r="G129" s="13" t="n">
        <f aca="false">B129*$B$5+C129*$B$6+D129*$B$7+E129</f>
        <v>625.414615698893</v>
      </c>
      <c r="H129" s="14" t="s">
        <v>156</v>
      </c>
    </row>
    <row r="130" customFormat="false" ht="15" hidden="false" customHeight="false" outlineLevel="0" collapsed="false">
      <c r="A130" s="15" t="s">
        <v>159</v>
      </c>
      <c r="B130" s="16" t="n">
        <f aca="false">SUM(B127:B129)</f>
        <v>16</v>
      </c>
      <c r="C130" s="16" t="n">
        <f aca="false">SUM(C127:C129)</f>
        <v>8</v>
      </c>
      <c r="D130" s="16" t="n">
        <f aca="false">SUM(D127:D129)</f>
        <v>4</v>
      </c>
      <c r="E130" s="17" t="n">
        <f aca="false">SUM(E127:E129)</f>
        <v>0</v>
      </c>
      <c r="F130" s="15"/>
      <c r="G130" s="17" t="n">
        <f aca="false">SUM(G127:G129)</f>
        <v>2223.69641137384</v>
      </c>
      <c r="H130" s="15"/>
    </row>
    <row r="131" customFormat="false" ht="15" hidden="false" customHeight="false" outlineLevel="0" collapsed="false">
      <c r="A131" s="10" t="s">
        <v>160</v>
      </c>
      <c r="B131" s="10"/>
      <c r="C131" s="10"/>
      <c r="D131" s="10"/>
      <c r="E131" s="10"/>
      <c r="F131" s="10"/>
      <c r="G131" s="10"/>
      <c r="H131" s="10"/>
    </row>
    <row r="132" customFormat="false" ht="15" hidden="false" customHeight="false" outlineLevel="0" collapsed="false">
      <c r="A132" s="11" t="s">
        <v>161</v>
      </c>
      <c r="B132" s="12" t="n">
        <v>10</v>
      </c>
      <c r="C132" s="12" t="n">
        <v>3</v>
      </c>
      <c r="D132" s="12" t="n">
        <v>1</v>
      </c>
      <c r="E132" s="13" t="n">
        <v>0</v>
      </c>
      <c r="F132" s="14"/>
      <c r="G132" s="13" t="n">
        <f aca="false">B132*$B$5+C132*$B$6+D132*$B$7+E132</f>
        <v>1077.1029492592</v>
      </c>
      <c r="H132" s="14" t="s">
        <v>162</v>
      </c>
    </row>
    <row r="133" customFormat="false" ht="15" hidden="false" customHeight="false" outlineLevel="0" collapsed="false">
      <c r="A133" s="11" t="s">
        <v>163</v>
      </c>
      <c r="B133" s="12" t="n">
        <v>10</v>
      </c>
      <c r="C133" s="12" t="n">
        <v>3</v>
      </c>
      <c r="D133" s="12" t="n">
        <v>1</v>
      </c>
      <c r="E133" s="13" t="n">
        <v>0</v>
      </c>
      <c r="F133" s="14"/>
      <c r="G133" s="13" t="n">
        <f aca="false">B133*$B$5+C133*$B$6+D133*$B$7+E133</f>
        <v>1077.1029492592</v>
      </c>
      <c r="H133" s="14" t="s">
        <v>162</v>
      </c>
    </row>
    <row r="134" customFormat="false" ht="15" hidden="false" customHeight="false" outlineLevel="0" collapsed="false">
      <c r="A134" s="11" t="s">
        <v>164</v>
      </c>
      <c r="B134" s="12" t="n">
        <v>8</v>
      </c>
      <c r="C134" s="12" t="n">
        <v>2</v>
      </c>
      <c r="D134" s="12" t="n">
        <v>1</v>
      </c>
      <c r="E134" s="13" t="n">
        <v>0</v>
      </c>
      <c r="F134" s="14"/>
      <c r="G134" s="13" t="n">
        <f aca="false">B134*$B$5+C134*$B$6+D134*$B$7+E134</f>
        <v>833.886154265191</v>
      </c>
      <c r="H134" s="14" t="s">
        <v>162</v>
      </c>
    </row>
    <row r="135" customFormat="false" ht="15" hidden="false" customHeight="false" outlineLevel="0" collapsed="false">
      <c r="A135" s="15" t="s">
        <v>165</v>
      </c>
      <c r="B135" s="16" t="n">
        <f aca="false">SUM(B132:B134)</f>
        <v>28</v>
      </c>
      <c r="C135" s="16" t="n">
        <f aca="false">SUM(C132:C134)</f>
        <v>8</v>
      </c>
      <c r="D135" s="16" t="n">
        <f aca="false">SUM(D132:D134)</f>
        <v>3</v>
      </c>
      <c r="E135" s="17" t="n">
        <f aca="false">SUM(E132:E134)</f>
        <v>0</v>
      </c>
      <c r="F135" s="15"/>
      <c r="G135" s="17" t="n">
        <f aca="false">SUM(G132:G134)</f>
        <v>2988.0920527836</v>
      </c>
      <c r="H135" s="15"/>
    </row>
    <row r="136" customFormat="false" ht="15" hidden="false" customHeight="false" outlineLevel="0" collapsed="false">
      <c r="A136" s="10" t="s">
        <v>166</v>
      </c>
      <c r="B136" s="10"/>
      <c r="C136" s="10"/>
      <c r="D136" s="10"/>
      <c r="E136" s="10"/>
      <c r="F136" s="10"/>
      <c r="G136" s="10"/>
      <c r="H136" s="10"/>
    </row>
    <row r="137" customFormat="false" ht="15" hidden="false" customHeight="false" outlineLevel="0" collapsed="false">
      <c r="A137" s="11" t="s">
        <v>167</v>
      </c>
      <c r="B137" s="12" t="n">
        <v>8</v>
      </c>
      <c r="C137" s="12" t="n">
        <v>2</v>
      </c>
      <c r="D137" s="12" t="n">
        <v>1</v>
      </c>
      <c r="E137" s="13" t="n">
        <v>0</v>
      </c>
      <c r="F137" s="14"/>
      <c r="G137" s="13" t="n">
        <f aca="false">B137*$B$5+C137*$B$6+D137*$B$7+E137</f>
        <v>833.886154265191</v>
      </c>
      <c r="H137" s="14" t="s">
        <v>168</v>
      </c>
    </row>
    <row r="138" customFormat="false" ht="15" hidden="false" customHeight="false" outlineLevel="0" collapsed="false">
      <c r="A138" s="11" t="s">
        <v>169</v>
      </c>
      <c r="B138" s="12" t="n">
        <v>8</v>
      </c>
      <c r="C138" s="12" t="n">
        <v>2</v>
      </c>
      <c r="D138" s="12" t="n">
        <v>1</v>
      </c>
      <c r="E138" s="13" t="n">
        <v>0</v>
      </c>
      <c r="F138" s="14"/>
      <c r="G138" s="13" t="n">
        <f aca="false">B138*$B$5+C138*$B$6+D138*$B$7+E138</f>
        <v>833.886154265191</v>
      </c>
      <c r="H138" s="14" t="s">
        <v>168</v>
      </c>
    </row>
    <row r="139" customFormat="false" ht="15" hidden="false" customHeight="false" outlineLevel="0" collapsed="false">
      <c r="A139" s="11" t="s">
        <v>170</v>
      </c>
      <c r="B139" s="12" t="n">
        <v>10</v>
      </c>
      <c r="C139" s="12" t="n">
        <v>4</v>
      </c>
      <c r="D139" s="12" t="n">
        <v>2</v>
      </c>
      <c r="E139" s="13" t="n">
        <v>0</v>
      </c>
      <c r="F139" s="14"/>
      <c r="G139" s="13" t="n">
        <f aca="false">B139*$B$5+C139*$B$6+D139*$B$7+E139</f>
        <v>1250.82923139779</v>
      </c>
      <c r="H139" s="14" t="s">
        <v>168</v>
      </c>
    </row>
    <row r="140" customFormat="false" ht="15" hidden="false" customHeight="false" outlineLevel="0" collapsed="false">
      <c r="A140" s="15" t="s">
        <v>171</v>
      </c>
      <c r="B140" s="16" t="n">
        <f aca="false">SUM(B137:B139)</f>
        <v>26</v>
      </c>
      <c r="C140" s="16" t="n">
        <f aca="false">SUM(C137:C139)</f>
        <v>8</v>
      </c>
      <c r="D140" s="16" t="n">
        <f aca="false">SUM(D137:D139)</f>
        <v>4</v>
      </c>
      <c r="E140" s="17" t="n">
        <f aca="false">SUM(E137:E139)</f>
        <v>0</v>
      </c>
      <c r="F140" s="15"/>
      <c r="G140" s="17" t="n">
        <f aca="false">SUM(G137:G139)</f>
        <v>2918.60153992817</v>
      </c>
      <c r="H140" s="15"/>
    </row>
    <row r="141" customFormat="false" ht="15" hidden="false" customHeight="false" outlineLevel="0" collapsed="false">
      <c r="A141" s="10" t="s">
        <v>172</v>
      </c>
      <c r="B141" s="10"/>
      <c r="C141" s="10"/>
      <c r="D141" s="10"/>
      <c r="E141" s="10"/>
      <c r="F141" s="10"/>
      <c r="G141" s="10"/>
      <c r="H141" s="10"/>
    </row>
    <row r="142" customFormat="false" ht="15" hidden="false" customHeight="false" outlineLevel="0" collapsed="false">
      <c r="A142" s="11" t="s">
        <v>173</v>
      </c>
      <c r="B142" s="12" t="n">
        <v>12</v>
      </c>
      <c r="C142" s="12" t="n">
        <v>3</v>
      </c>
      <c r="D142" s="12" t="n">
        <v>1</v>
      </c>
      <c r="E142" s="13" t="n">
        <v>0</v>
      </c>
      <c r="F142" s="14"/>
      <c r="G142" s="13" t="n">
        <f aca="false">B142*$B$5+C142*$B$6+D142*$B$7+E142</f>
        <v>1216.08397497007</v>
      </c>
      <c r="H142" s="14" t="s">
        <v>174</v>
      </c>
    </row>
    <row r="143" customFormat="false" ht="15" hidden="false" customHeight="false" outlineLevel="0" collapsed="false">
      <c r="A143" s="11" t="s">
        <v>175</v>
      </c>
      <c r="B143" s="12" t="n">
        <v>4</v>
      </c>
      <c r="C143" s="12" t="n">
        <v>4</v>
      </c>
      <c r="D143" s="12" t="n">
        <v>2</v>
      </c>
      <c r="E143" s="13" t="n">
        <v>0</v>
      </c>
      <c r="F143" s="14"/>
      <c r="G143" s="13" t="n">
        <f aca="false">B143*$B$5+C143*$B$6+D143*$B$7+E143</f>
        <v>833.886154265191</v>
      </c>
      <c r="H143" s="14" t="s">
        <v>174</v>
      </c>
    </row>
    <row r="144" customFormat="false" ht="15" hidden="false" customHeight="false" outlineLevel="0" collapsed="false">
      <c r="A144" s="15" t="s">
        <v>176</v>
      </c>
      <c r="B144" s="16" t="n">
        <f aca="false">SUM(B142:B143)</f>
        <v>16</v>
      </c>
      <c r="C144" s="16" t="n">
        <f aca="false">SUM(C142:C143)</f>
        <v>7</v>
      </c>
      <c r="D144" s="16" t="n">
        <f aca="false">SUM(D142:D143)</f>
        <v>3</v>
      </c>
      <c r="E144" s="17" t="n">
        <f aca="false">SUM(E142:E143)</f>
        <v>0</v>
      </c>
      <c r="F144" s="15"/>
      <c r="G144" s="17" t="n">
        <f aca="false">SUM(G142:G143)</f>
        <v>2049.97012923526</v>
      </c>
      <c r="H144" s="15"/>
    </row>
    <row r="145" customFormat="false" ht="15" hidden="false" customHeight="false" outlineLevel="0" collapsed="false">
      <c r="A145" s="9" t="s">
        <v>177</v>
      </c>
      <c r="B145" s="9"/>
      <c r="C145" s="9"/>
      <c r="D145" s="9"/>
      <c r="E145" s="9"/>
      <c r="F145" s="9"/>
      <c r="G145" s="9"/>
      <c r="H145" s="9"/>
    </row>
    <row r="146" customFormat="false" ht="15" hidden="false" customHeight="false" outlineLevel="0" collapsed="false">
      <c r="A146" s="10" t="s">
        <v>178</v>
      </c>
      <c r="B146" s="10"/>
      <c r="C146" s="10"/>
      <c r="D146" s="10"/>
      <c r="E146" s="10"/>
      <c r="F146" s="10"/>
      <c r="G146" s="10"/>
      <c r="H146" s="10"/>
    </row>
    <row r="147" customFormat="false" ht="28.35" hidden="false" customHeight="false" outlineLevel="0" collapsed="false">
      <c r="A147" s="11" t="s">
        <v>179</v>
      </c>
      <c r="B147" s="12" t="n">
        <v>3</v>
      </c>
      <c r="C147" s="12" t="n">
        <v>2</v>
      </c>
      <c r="D147" s="12" t="n">
        <v>6</v>
      </c>
      <c r="E147" s="13" t="n">
        <v>0</v>
      </c>
      <c r="F147" s="14"/>
      <c r="G147" s="13" t="n">
        <f aca="false">B147*$B$5+C147*$B$6+D147*$B$7+E147</f>
        <v>833.886154265191</v>
      </c>
      <c r="H147" s="14" t="s">
        <v>180</v>
      </c>
    </row>
    <row r="148" customFormat="false" ht="28.35" hidden="false" customHeight="false" outlineLevel="0" collapsed="false">
      <c r="A148" s="11" t="s">
        <v>181</v>
      </c>
      <c r="B148" s="12" t="n">
        <v>2</v>
      </c>
      <c r="C148" s="12" t="n">
        <v>1</v>
      </c>
      <c r="D148" s="12" t="n">
        <v>5</v>
      </c>
      <c r="E148" s="13" t="n">
        <v>0</v>
      </c>
      <c r="F148" s="14"/>
      <c r="G148" s="13" t="n">
        <f aca="false">B148*$B$5+C148*$B$6+D148*$B$7+E148</f>
        <v>590.669359271177</v>
      </c>
      <c r="H148" s="14" t="s">
        <v>180</v>
      </c>
    </row>
    <row r="149" customFormat="false" ht="28.35" hidden="false" customHeight="false" outlineLevel="0" collapsed="false">
      <c r="A149" s="11" t="s">
        <v>182</v>
      </c>
      <c r="B149" s="12" t="n">
        <v>3</v>
      </c>
      <c r="C149" s="12" t="n">
        <v>1</v>
      </c>
      <c r="D149" s="12" t="n">
        <v>6</v>
      </c>
      <c r="E149" s="13" t="n">
        <v>0</v>
      </c>
      <c r="F149" s="14"/>
      <c r="G149" s="13" t="n">
        <f aca="false">B149*$B$5+C149*$B$6+D149*$B$7+E149</f>
        <v>729.650384982042</v>
      </c>
      <c r="H149" s="14" t="s">
        <v>180</v>
      </c>
    </row>
    <row r="150" customFormat="false" ht="28.35" hidden="false" customHeight="false" outlineLevel="0" collapsed="false">
      <c r="A150" s="11" t="s">
        <v>183</v>
      </c>
      <c r="B150" s="12" t="n">
        <v>3</v>
      </c>
      <c r="C150" s="12" t="n">
        <v>1</v>
      </c>
      <c r="D150" s="12" t="n">
        <v>6</v>
      </c>
      <c r="E150" s="13" t="n">
        <v>0</v>
      </c>
      <c r="F150" s="14"/>
      <c r="G150" s="13" t="n">
        <f aca="false">B150*$B$5+C150*$B$6+D150*$B$7+E150</f>
        <v>729.650384982042</v>
      </c>
      <c r="H150" s="14" t="s">
        <v>180</v>
      </c>
    </row>
    <row r="151" customFormat="false" ht="28.35" hidden="false" customHeight="false" outlineLevel="0" collapsed="false">
      <c r="A151" s="11" t="s">
        <v>184</v>
      </c>
      <c r="B151" s="12" t="n">
        <v>3</v>
      </c>
      <c r="C151" s="12" t="n">
        <v>2</v>
      </c>
      <c r="D151" s="12" t="n">
        <v>5</v>
      </c>
      <c r="E151" s="13" t="n">
        <v>0</v>
      </c>
      <c r="F151" s="14"/>
      <c r="G151" s="13" t="n">
        <f aca="false">B151*$B$5+C151*$B$6+D151*$B$7+E151</f>
        <v>764.395641409758</v>
      </c>
      <c r="H151" s="14" t="s">
        <v>180</v>
      </c>
    </row>
    <row r="152" customFormat="false" ht="15" hidden="false" customHeight="false" outlineLevel="0" collapsed="false">
      <c r="A152" s="15" t="s">
        <v>185</v>
      </c>
      <c r="B152" s="16" t="n">
        <f aca="false">SUM(B147:B151)</f>
        <v>14</v>
      </c>
      <c r="C152" s="16" t="n">
        <f aca="false">SUM(C147:C151)</f>
        <v>7</v>
      </c>
      <c r="D152" s="16" t="n">
        <f aca="false">SUM(D147:D151)</f>
        <v>28</v>
      </c>
      <c r="E152" s="17" t="n">
        <f aca="false">SUM(E147:E151)</f>
        <v>0</v>
      </c>
      <c r="F152" s="15"/>
      <c r="G152" s="17" t="n">
        <f aca="false">SUM(G147:G151)</f>
        <v>3648.25192491021</v>
      </c>
      <c r="H152" s="15"/>
    </row>
    <row r="153" customFormat="false" ht="15" hidden="false" customHeight="false" outlineLevel="0" collapsed="false">
      <c r="A153" s="10" t="s">
        <v>186</v>
      </c>
      <c r="B153" s="10"/>
      <c r="C153" s="10"/>
      <c r="D153" s="10"/>
      <c r="E153" s="10"/>
      <c r="F153" s="10"/>
      <c r="G153" s="10"/>
      <c r="H153" s="10"/>
    </row>
    <row r="154" customFormat="false" ht="15" hidden="false" customHeight="false" outlineLevel="0" collapsed="false">
      <c r="A154" s="11" t="s">
        <v>187</v>
      </c>
      <c r="B154" s="12" t="n">
        <v>2</v>
      </c>
      <c r="C154" s="12" t="n">
        <v>2</v>
      </c>
      <c r="D154" s="12" t="n">
        <v>6</v>
      </c>
      <c r="E154" s="13" t="n">
        <v>0</v>
      </c>
      <c r="F154" s="14"/>
      <c r="G154" s="13" t="n">
        <f aca="false">B154*$B$5+C154*$B$6+D154*$B$7+E154</f>
        <v>764.395641409758</v>
      </c>
      <c r="H154" s="14" t="s">
        <v>188</v>
      </c>
    </row>
    <row r="155" customFormat="false" ht="15" hidden="false" customHeight="false" outlineLevel="0" collapsed="false">
      <c r="A155" s="11" t="s">
        <v>189</v>
      </c>
      <c r="B155" s="12" t="n">
        <v>4</v>
      </c>
      <c r="C155" s="12" t="n">
        <v>4</v>
      </c>
      <c r="D155" s="12" t="n">
        <v>4</v>
      </c>
      <c r="E155" s="13" t="n">
        <v>0</v>
      </c>
      <c r="F155" s="14"/>
      <c r="G155" s="13" t="n">
        <f aca="false">B155*$B$5+C155*$B$6+D155*$B$7+E155</f>
        <v>972.867179976056</v>
      </c>
      <c r="H155" s="14" t="s">
        <v>188</v>
      </c>
    </row>
    <row r="156" customFormat="false" ht="15" hidden="false" customHeight="false" outlineLevel="0" collapsed="false">
      <c r="A156" s="15" t="s">
        <v>190</v>
      </c>
      <c r="B156" s="16" t="n">
        <f aca="false">SUM(B154:B155)</f>
        <v>6</v>
      </c>
      <c r="C156" s="16" t="n">
        <f aca="false">SUM(C154:C155)</f>
        <v>6</v>
      </c>
      <c r="D156" s="16" t="n">
        <f aca="false">SUM(D154:D155)</f>
        <v>10</v>
      </c>
      <c r="E156" s="17" t="n">
        <f aca="false">SUM(E154:E155)</f>
        <v>0</v>
      </c>
      <c r="F156" s="15"/>
      <c r="G156" s="17" t="n">
        <f aca="false">SUM(G154:G155)</f>
        <v>1737.26282138581</v>
      </c>
      <c r="H156" s="15"/>
    </row>
    <row r="158" customFormat="false" ht="31.5" hidden="false" customHeight="true" outlineLevel="0" collapsed="false">
      <c r="A158" s="18" t="s">
        <v>191</v>
      </c>
      <c r="B158" s="19" t="n">
        <f aca="false">SUM(B10:B157)</f>
        <v>1106</v>
      </c>
      <c r="C158" s="19" t="n">
        <f aca="false">SUM(C10:C157)</f>
        <v>338</v>
      </c>
      <c r="D158" s="19" t="n">
        <f aca="false">SUM(D10:D157)</f>
        <v>186</v>
      </c>
      <c r="E158" s="20" t="n">
        <f aca="false">SUM(E10:E157)</f>
        <v>0</v>
      </c>
      <c r="F158" s="19" t="s">
        <v>192</v>
      </c>
      <c r="G158" s="20" t="n">
        <f aca="false">SUM(G10:G157)</f>
        <v>125013.432626923</v>
      </c>
      <c r="H158" s="19" t="s">
        <v>193</v>
      </c>
    </row>
    <row r="160" customFormat="false" ht="15" hidden="false" customHeight="true" outlineLevel="0" collapsed="false">
      <c r="A160" s="21" t="s">
        <v>194</v>
      </c>
      <c r="B160" s="21"/>
      <c r="C160" s="21"/>
      <c r="D160" s="21"/>
      <c r="E160" s="21"/>
      <c r="F160" s="21"/>
      <c r="G160" s="21"/>
      <c r="H160" s="21"/>
    </row>
  </sheetData>
  <autoFilter ref="A9:H157"/>
  <mergeCells count="40">
    <mergeCell ref="A1:H1"/>
    <mergeCell ref="A2:H2"/>
    <mergeCell ref="A3:H3"/>
    <mergeCell ref="A8:H8"/>
    <mergeCell ref="A10:H10"/>
    <mergeCell ref="A11:H11"/>
    <mergeCell ref="A18:H18"/>
    <mergeCell ref="A22:H22"/>
    <mergeCell ref="A23:H23"/>
    <mergeCell ref="A28:H28"/>
    <mergeCell ref="A33:H33"/>
    <mergeCell ref="A37:H37"/>
    <mergeCell ref="A44:H44"/>
    <mergeCell ref="A50:H50"/>
    <mergeCell ref="A55:H55"/>
    <mergeCell ref="A56:H56"/>
    <mergeCell ref="A63:H63"/>
    <mergeCell ref="A69:H69"/>
    <mergeCell ref="A74:H74"/>
    <mergeCell ref="A79:H79"/>
    <mergeCell ref="A80:H80"/>
    <mergeCell ref="A85:H85"/>
    <mergeCell ref="A90:H90"/>
    <mergeCell ref="A95:H95"/>
    <mergeCell ref="A100:H100"/>
    <mergeCell ref="A101:H101"/>
    <mergeCell ref="A106:H106"/>
    <mergeCell ref="A110:H110"/>
    <mergeCell ref="A114:H114"/>
    <mergeCell ref="A115:H115"/>
    <mergeCell ref="A120:H120"/>
    <mergeCell ref="A125:H125"/>
    <mergeCell ref="A126:H126"/>
    <mergeCell ref="A131:H131"/>
    <mergeCell ref="A136:H136"/>
    <mergeCell ref="A141:H141"/>
    <mergeCell ref="A145:H145"/>
    <mergeCell ref="A146:H146"/>
    <mergeCell ref="A153:H153"/>
    <mergeCell ref="A160:H160"/>
  </mergeCells>
  <conditionalFormatting sqref="G10:G157">
    <cfRule type="cellIs" priority="2" operator="greaterThan" aboveAverage="0" equalAverage="0" bottom="0" percent="0" rank="0" text="" dxfId="6">
      <formula>5000</formula>
    </cfRule>
  </conditionalFormatting>
  <hyperlinks>
    <hyperlink ref="A2" r:id="rId1" display="FONTE DOS VALORES: Ge, C.; Kankanhalli, A.; Huang, K.-W. (2015), &quot;Investigating the Determinants of Starting Salary of IT Graduates&quot;, ACM SIGMIS Database 46(4), 9–25. DOI: 10.1145/2843824.2843826. Valores derivados do salário inicial de graduados de TI da base do estudo; metodologia detalhada na aba 'Fonte e Metodologia'.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18"/>
  </cols>
  <sheetData>
    <row r="1" customFormat="false" ht="27.75" hidden="false" customHeight="true" outlineLevel="0" collapsed="false">
      <c r="A1" s="22" t="s">
        <v>195</v>
      </c>
      <c r="B1" s="22"/>
      <c r="C1" s="22"/>
      <c r="D1" s="22"/>
    </row>
    <row r="2" customFormat="false" ht="15" hidden="false" customHeight="false" outlineLevel="0" collapsed="false">
      <c r="A2" s="23"/>
      <c r="B2" s="23"/>
      <c r="C2" s="23"/>
      <c r="D2" s="23"/>
    </row>
    <row r="3" customFormat="false" ht="33.75" hidden="false" customHeight="true" outlineLevel="0" collapsed="false">
      <c r="A3" s="24" t="s">
        <v>196</v>
      </c>
      <c r="B3" s="25" t="s">
        <v>197</v>
      </c>
      <c r="C3" s="25"/>
      <c r="D3" s="25"/>
    </row>
    <row r="4" customFormat="false" ht="33.75" hidden="false" customHeight="true" outlineLevel="0" collapsed="false">
      <c r="A4" s="24" t="s">
        <v>198</v>
      </c>
      <c r="B4" s="25" t="s">
        <v>199</v>
      </c>
      <c r="C4" s="25"/>
      <c r="D4" s="25"/>
    </row>
    <row r="5" customFormat="false" ht="33.75" hidden="false" customHeight="true" outlineLevel="0" collapsed="false">
      <c r="A5" s="24" t="s">
        <v>200</v>
      </c>
      <c r="B5" s="25" t="s">
        <v>201</v>
      </c>
      <c r="C5" s="25"/>
      <c r="D5" s="25"/>
    </row>
    <row r="6" customFormat="false" ht="33.75" hidden="false" customHeight="true" outlineLevel="0" collapsed="false">
      <c r="A6" s="24" t="s">
        <v>202</v>
      </c>
      <c r="B6" s="26" t="s">
        <v>203</v>
      </c>
      <c r="C6" s="26"/>
      <c r="D6" s="26"/>
    </row>
    <row r="7" customFormat="false" ht="33.75" hidden="false" customHeight="true" outlineLevel="0" collapsed="false">
      <c r="A7" s="24" t="s">
        <v>204</v>
      </c>
      <c r="B7" s="25" t="s">
        <v>205</v>
      </c>
      <c r="C7" s="25"/>
      <c r="D7" s="25"/>
    </row>
    <row r="8" customFormat="false" ht="33.75" hidden="false" customHeight="true" outlineLevel="0" collapsed="false">
      <c r="A8" s="24" t="s">
        <v>206</v>
      </c>
      <c r="B8" s="25" t="s">
        <v>207</v>
      </c>
      <c r="C8" s="25"/>
      <c r="D8" s="25"/>
    </row>
    <row r="9" customFormat="false" ht="33.75" hidden="false" customHeight="true" outlineLevel="0" collapsed="false">
      <c r="A9" s="24" t="s">
        <v>208</v>
      </c>
      <c r="B9" s="25" t="s">
        <v>209</v>
      </c>
      <c r="C9" s="25"/>
      <c r="D9" s="25"/>
    </row>
    <row r="10" customFormat="false" ht="33.75" hidden="false" customHeight="true" outlineLevel="0" collapsed="false">
      <c r="A10" s="23"/>
      <c r="B10" s="23"/>
      <c r="C10" s="23"/>
      <c r="D10" s="23"/>
    </row>
    <row r="11" customFormat="false" ht="24" hidden="false" customHeight="true" outlineLevel="0" collapsed="false">
      <c r="A11" s="27" t="s">
        <v>210</v>
      </c>
      <c r="B11" s="27"/>
      <c r="C11" s="27"/>
      <c r="D11" s="27"/>
    </row>
    <row r="12" customFormat="false" ht="24" hidden="false" customHeight="true" outlineLevel="0" collapsed="false">
      <c r="A12" s="28" t="s">
        <v>211</v>
      </c>
      <c r="B12" s="23" t="n">
        <v>7.91</v>
      </c>
      <c r="C12" s="29" t="s">
        <v>212</v>
      </c>
      <c r="D12" s="23"/>
    </row>
    <row r="13" customFormat="false" ht="24" hidden="false" customHeight="true" outlineLevel="0" collapsed="false">
      <c r="A13" s="28" t="s">
        <v>213</v>
      </c>
      <c r="B13" s="23" t="n">
        <v>7.94</v>
      </c>
      <c r="C13" s="29" t="s">
        <v>212</v>
      </c>
      <c r="D13" s="23"/>
    </row>
    <row r="14" customFormat="false" ht="24" hidden="false" customHeight="true" outlineLevel="0" collapsed="false">
      <c r="A14" s="28" t="s">
        <v>214</v>
      </c>
      <c r="B14" s="23" t="n">
        <v>580</v>
      </c>
      <c r="C14" s="29" t="s">
        <v>212</v>
      </c>
      <c r="D14" s="23"/>
    </row>
    <row r="15" customFormat="false" ht="24" hidden="false" customHeight="true" outlineLevel="0" collapsed="false">
      <c r="A15" s="28" t="s">
        <v>215</v>
      </c>
      <c r="B15" s="23" t="n">
        <v>248</v>
      </c>
      <c r="C15" s="29" t="s">
        <v>212</v>
      </c>
      <c r="D15" s="23"/>
    </row>
    <row r="16" customFormat="false" ht="24" hidden="false" customHeight="true" outlineLevel="0" collapsed="false">
      <c r="A16" s="28" t="s">
        <v>216</v>
      </c>
      <c r="B16" s="23" t="n">
        <v>828</v>
      </c>
      <c r="C16" s="29" t="s">
        <v>217</v>
      </c>
      <c r="D16" s="23"/>
    </row>
    <row r="17" customFormat="false" ht="24" hidden="false" customHeight="true" outlineLevel="0" collapsed="false">
      <c r="A17" s="28" t="s">
        <v>218</v>
      </c>
      <c r="B17" s="23" t="n">
        <v>160</v>
      </c>
      <c r="C17" s="29" t="s">
        <v>219</v>
      </c>
      <c r="D17" s="23"/>
    </row>
    <row r="18" customFormat="false" ht="24" hidden="false" customHeight="true" outlineLevel="0" collapsed="false">
      <c r="A18" s="28" t="s">
        <v>220</v>
      </c>
      <c r="B18" s="30" t="n">
        <v>4.0442</v>
      </c>
      <c r="C18" s="29" t="s">
        <v>221</v>
      </c>
      <c r="D18" s="23"/>
    </row>
    <row r="19" customFormat="false" ht="24" hidden="false" customHeight="true" outlineLevel="0" collapsed="false">
      <c r="A19" s="28" t="s">
        <v>222</v>
      </c>
      <c r="B19" s="31" t="n">
        <v>1.5</v>
      </c>
      <c r="C19" s="29" t="s">
        <v>223</v>
      </c>
      <c r="D19" s="23"/>
    </row>
    <row r="20" customFormat="false" ht="24" hidden="false" customHeight="true" outlineLevel="0" collapsed="false">
      <c r="A20" s="23"/>
      <c r="B20" s="23"/>
      <c r="C20" s="23"/>
      <c r="D20" s="23"/>
    </row>
    <row r="21" customFormat="false" ht="24" hidden="false" customHeight="true" outlineLevel="0" collapsed="false">
      <c r="A21" s="27" t="s">
        <v>224</v>
      </c>
      <c r="B21" s="27"/>
      <c r="C21" s="27"/>
      <c r="D21" s="27"/>
    </row>
    <row r="22" customFormat="false" ht="24" hidden="false" customHeight="true" outlineLevel="0" collapsed="false">
      <c r="A22" s="28" t="s">
        <v>225</v>
      </c>
      <c r="B22" s="32" t="n">
        <f aca="false">EXP(B12)</f>
        <v>2724.39046634078</v>
      </c>
      <c r="C22" s="29" t="s">
        <v>226</v>
      </c>
      <c r="D22" s="23"/>
    </row>
    <row r="23" customFormat="false" ht="24" hidden="false" customHeight="true" outlineLevel="0" collapsed="false">
      <c r="A23" s="28" t="s">
        <v>227</v>
      </c>
      <c r="B23" s="32" t="n">
        <f aca="false">EXP(B13)</f>
        <v>2807.3605083006</v>
      </c>
      <c r="C23" s="29" t="s">
        <v>226</v>
      </c>
      <c r="D23" s="23"/>
    </row>
    <row r="24" customFormat="false" ht="24" hidden="false" customHeight="true" outlineLevel="0" collapsed="false">
      <c r="A24" s="28" t="s">
        <v>228</v>
      </c>
      <c r="B24" s="32" t="n">
        <f aca="false">(B22*B14+B23*B15)/B16</f>
        <v>2749.24139678285</v>
      </c>
      <c r="C24" s="29" t="s">
        <v>229</v>
      </c>
      <c r="D24" s="23"/>
    </row>
    <row r="25" customFormat="false" ht="24" hidden="false" customHeight="true" outlineLevel="0" collapsed="false">
      <c r="A25" s="28" t="s">
        <v>230</v>
      </c>
      <c r="B25" s="33" t="n">
        <f aca="false">B24*B18</f>
        <v>11118.4820568692</v>
      </c>
      <c r="C25" s="29" t="s">
        <v>231</v>
      </c>
      <c r="D25" s="23"/>
    </row>
    <row r="26" customFormat="false" ht="24" hidden="false" customHeight="true" outlineLevel="0" collapsed="false">
      <c r="A26" s="28" t="s">
        <v>232</v>
      </c>
      <c r="B26" s="33" t="n">
        <f aca="false">B25/B17</f>
        <v>69.4905128554325</v>
      </c>
      <c r="C26" s="29" t="s">
        <v>233</v>
      </c>
      <c r="D26" s="23"/>
    </row>
    <row r="27" customFormat="false" ht="24" hidden="false" customHeight="true" outlineLevel="0" collapsed="false">
      <c r="A27" s="28" t="s">
        <v>234</v>
      </c>
      <c r="B27" s="33" t="n">
        <f aca="false">B26</f>
        <v>69.4905128554325</v>
      </c>
      <c r="C27" s="29" t="s">
        <v>235</v>
      </c>
      <c r="D27" s="23"/>
    </row>
    <row r="28" customFormat="false" ht="24" hidden="false" customHeight="true" outlineLevel="0" collapsed="false">
      <c r="A28" s="28" t="s">
        <v>236</v>
      </c>
      <c r="B28" s="33" t="n">
        <f aca="false">B26*B19</f>
        <v>104.235769283149</v>
      </c>
      <c r="C28" s="29" t="s">
        <v>237</v>
      </c>
      <c r="D28" s="23"/>
    </row>
    <row r="29" customFormat="false" ht="24" hidden="false" customHeight="true" outlineLevel="0" collapsed="false">
      <c r="A29" s="28" t="s">
        <v>238</v>
      </c>
      <c r="B29" s="33" t="n">
        <f aca="false">B26</f>
        <v>69.4905128554325</v>
      </c>
      <c r="C29" s="29" t="s">
        <v>235</v>
      </c>
      <c r="D29" s="23"/>
    </row>
  </sheetData>
  <mergeCells count="10">
    <mergeCell ref="A1:D1"/>
    <mergeCell ref="B3:D3"/>
    <mergeCell ref="B4:D4"/>
    <mergeCell ref="B5:D5"/>
    <mergeCell ref="B6:D6"/>
    <mergeCell ref="B7:D7"/>
    <mergeCell ref="B8:D8"/>
    <mergeCell ref="B9:D9"/>
    <mergeCell ref="A11:D11"/>
    <mergeCell ref="A21:D21"/>
  </mergeCells>
  <hyperlinks>
    <hyperlink ref="B6" r:id="rId1" display="https://doi.org/10.1145/2843824.284382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85"/>
    <col collapsed="false" customWidth="true" hidden="false" outlineLevel="0" max="4" min="3" style="0" width="15"/>
  </cols>
  <sheetData>
    <row r="1" customFormat="false" ht="17.35" hidden="false" customHeight="false" outlineLevel="0" collapsed="false">
      <c r="A1" s="34" t="s">
        <v>239</v>
      </c>
      <c r="B1" s="34"/>
      <c r="C1" s="34"/>
      <c r="D1" s="34"/>
    </row>
    <row r="3" customFormat="false" ht="15" hidden="false" customHeight="true" outlineLevel="0" collapsed="false">
      <c r="A3" s="35" t="s">
        <v>240</v>
      </c>
      <c r="B3" s="36" t="s">
        <v>241</v>
      </c>
      <c r="C3" s="36"/>
      <c r="D3" s="36"/>
    </row>
    <row r="4" customFormat="false" ht="15" hidden="false" customHeight="true" outlineLevel="0" collapsed="false">
      <c r="A4" s="35" t="s">
        <v>242</v>
      </c>
      <c r="B4" s="36" t="s">
        <v>243</v>
      </c>
      <c r="C4" s="36"/>
      <c r="D4" s="36"/>
    </row>
    <row r="5" customFormat="false" ht="15" hidden="false" customHeight="true" outlineLevel="0" collapsed="false">
      <c r="A5" s="35" t="s">
        <v>244</v>
      </c>
      <c r="B5" s="36" t="s">
        <v>245</v>
      </c>
      <c r="C5" s="36"/>
      <c r="D5" s="36"/>
    </row>
    <row r="6" customFormat="false" ht="15" hidden="false" customHeight="true" outlineLevel="0" collapsed="false">
      <c r="A6" s="35" t="s">
        <v>246</v>
      </c>
      <c r="B6" s="36" t="s">
        <v>247</v>
      </c>
      <c r="C6" s="36"/>
      <c r="D6" s="36"/>
    </row>
    <row r="7" customFormat="false" ht="15" hidden="false" customHeight="true" outlineLevel="0" collapsed="false">
      <c r="A7" s="35" t="s">
        <v>248</v>
      </c>
      <c r="B7" s="36" t="s">
        <v>249</v>
      </c>
      <c r="C7" s="36"/>
      <c r="D7" s="36"/>
    </row>
    <row r="8" customFormat="false" ht="28.35" hidden="false" customHeight="true" outlineLevel="0" collapsed="false">
      <c r="A8" s="35" t="s">
        <v>250</v>
      </c>
      <c r="B8" s="36" t="s">
        <v>251</v>
      </c>
      <c r="C8" s="36"/>
      <c r="D8" s="36"/>
    </row>
    <row r="9" customFormat="false" ht="28.35" hidden="false" customHeight="false" outlineLevel="0" collapsed="false">
      <c r="A9" s="0" t="s">
        <v>252</v>
      </c>
      <c r="B9" s="37" t="s">
        <v>253</v>
      </c>
    </row>
  </sheetData>
  <mergeCells count="7">
    <mergeCell ref="A1:D1"/>
    <mergeCell ref="B3:D3"/>
    <mergeCell ref="B4:D4"/>
    <mergeCell ref="B5:D5"/>
    <mergeCell ref="B6:D6"/>
    <mergeCell ref="B7:D7"/>
    <mergeCell ref="B8:D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2026-09-01T22:35:38Z</dcterms:created>
  <dc:creator>openpyxl</dc:creator>
  <dc:description/>
  <dc:language>en-US</dc:language>
  <cp:lastModifiedBy/>
  <dcterms:modified xsi:type="dcterms:W3CDTF">2026-09-01T22:40:20Z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