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sadora Zanardo\Desktop\ADS\4SEM\FieldOps\Documentacao\Aula04\"/>
    </mc:Choice>
  </mc:AlternateContent>
  <xr:revisionPtr revIDLastSave="0" documentId="13_ncr:1_{1C3EC8AC-BB64-4227-9CD4-D529E8109DF7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RONOGRAMA" sheetId="1" r:id="rId1"/>
    <sheet name="MARCOS" sheetId="2" r:id="rId2"/>
    <sheet name="RESPONSÁVEIS" sheetId="3" r:id="rId3"/>
    <sheet name="RESUMO" sheetId="4" r:id="rId4"/>
  </sheets>
  <calcPr calcId="191029"/>
</workbook>
</file>

<file path=xl/calcChain.xml><?xml version="1.0" encoding="utf-8"?>
<calcChain xmlns="http://schemas.openxmlformats.org/spreadsheetml/2006/main">
  <c r="I80" i="1" l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<sst xmlns="http://schemas.openxmlformats.org/spreadsheetml/2006/main" count="988" uniqueCount="406">
  <si>
    <t>FieldOps — Cronograma do Projeto | Agosto a Novembro de 2026</t>
  </si>
  <si>
    <t>Legenda</t>
  </si>
  <si>
    <t>Planejamento / Análise</t>
  </si>
  <si>
    <t>Desenvolvimento</t>
  </si>
  <si>
    <t>Testes / Validação</t>
  </si>
  <si>
    <t>Marco / Entrega</t>
  </si>
  <si>
    <t>AGOSTO 2026</t>
  </si>
  <si>
    <t>SETEMBRO 2026</t>
  </si>
  <si>
    <t>OUTUBRO 2026</t>
  </si>
  <si>
    <t>NOVEMBRO 2026</t>
  </si>
  <si>
    <t>ID</t>
  </si>
  <si>
    <t>WBS</t>
  </si>
  <si>
    <t>Fase</t>
  </si>
  <si>
    <t>Atividade / Entrega</t>
  </si>
  <si>
    <t>Descrição</t>
  </si>
  <si>
    <t>Responsável</t>
  </si>
  <si>
    <t>Data de Início</t>
  </si>
  <si>
    <t>Data de Término</t>
  </si>
  <si>
    <t>Duração</t>
  </si>
  <si>
    <t>Dependência</t>
  </si>
  <si>
    <t>Prioridade</t>
  </si>
  <si>
    <t>Status</t>
  </si>
  <si>
    <t>% Concluído</t>
  </si>
  <si>
    <t>Tipo</t>
  </si>
  <si>
    <t>Marco</t>
  </si>
  <si>
    <t>S1</t>
  </si>
  <si>
    <t>S2</t>
  </si>
  <si>
    <t>S3</t>
  </si>
  <si>
    <t>S4</t>
  </si>
  <si>
    <t>FOP-001</t>
  </si>
  <si>
    <t>1.1</t>
  </si>
  <si>
    <t>Iniciação do Projeto</t>
  </si>
  <si>
    <t>Formalizar início do projeto</t>
  </si>
  <si>
    <t>Executar: formalizar início do projeto, garantindo aderência ao MVP e às regras do FieldOps.</t>
  </si>
  <si>
    <t>Responsável pelo Projeto</t>
  </si>
  <si>
    <t>Alta</t>
  </si>
  <si>
    <t>Não iniciada</t>
  </si>
  <si>
    <t>Sim</t>
  </si>
  <si>
    <t>FOP-002</t>
  </si>
  <si>
    <t>1.2</t>
  </si>
  <si>
    <t>Consolidar documento de visão</t>
  </si>
  <si>
    <t>Executar: consolidar documento de visão, garantindo aderência ao MVP e às regras do FieldOps.</t>
  </si>
  <si>
    <t>Atividade</t>
  </si>
  <si>
    <t>Não</t>
  </si>
  <si>
    <t>FOP-003</t>
  </si>
  <si>
    <t>1.3</t>
  </si>
  <si>
    <t>Configurar repositório GitHub</t>
  </si>
  <si>
    <t>Executar: configurar repositório github, garantindo aderência ao MVP e às regras do FieldOps.</t>
  </si>
  <si>
    <t>FOP-004</t>
  </si>
  <si>
    <t>2.1</t>
  </si>
  <si>
    <t>Planejamento</t>
  </si>
  <si>
    <t>Definir escopo do MVP</t>
  </si>
  <si>
    <t>Executar: definir escopo do mvp, garantindo aderência ao MVP e às regras do FieldOps.</t>
  </si>
  <si>
    <t>FOP-005</t>
  </si>
  <si>
    <t>2.2</t>
  </si>
  <si>
    <t>Estruturar EAP/WBS</t>
  </si>
  <si>
    <t>Executar: estruturar eap/wbs, garantindo aderência ao MVP e às regras do FieldOps.</t>
  </si>
  <si>
    <t>FOP-006</t>
  </si>
  <si>
    <t>2.3</t>
  </si>
  <si>
    <t>Montar cronograma oficial</t>
  </si>
  <si>
    <t>Executar: montar cronograma oficial, garantindo aderência ao MVP e às regras do FieldOps.</t>
  </si>
  <si>
    <t>FOP-007</t>
  </si>
  <si>
    <t>2.4</t>
  </si>
  <si>
    <t>Levantar riscos iniciais</t>
  </si>
  <si>
    <t>Executar: levantar riscos iniciais, garantindo aderência ao MVP e às regras do FieldOps.</t>
  </si>
  <si>
    <t>FOP-008</t>
  </si>
  <si>
    <t>2.5</t>
  </si>
  <si>
    <t>Organizar backlog e Kanban</t>
  </si>
  <si>
    <t>Executar: organizar backlog e kanban, garantindo aderência ao MVP e às regras do FieldOps.</t>
  </si>
  <si>
    <t>FOP-009</t>
  </si>
  <si>
    <t>3.1</t>
  </si>
  <si>
    <t>Levantamento e Análise de Requisitos</t>
  </si>
  <si>
    <t>Consolidar requisitos funcionais</t>
  </si>
  <si>
    <t>Executar: consolidar requisitos funcionais, garantindo aderência ao MVP e às regras do FieldOps.</t>
  </si>
  <si>
    <t>Analista de Requisitos</t>
  </si>
  <si>
    <t>FOP-010</t>
  </si>
  <si>
    <t>3.2</t>
  </si>
  <si>
    <t>Consolidar requisitos não funcionais</t>
  </si>
  <si>
    <t>Executar: consolidar requisitos não funcionais, garantindo aderência ao MVP e às regras do FieldOps.</t>
  </si>
  <si>
    <t>FOP-011</t>
  </si>
  <si>
    <t>3.3</t>
  </si>
  <si>
    <t>Revisar regras de negócio RN-001 a RN-090</t>
  </si>
  <si>
    <t>Executar: revisar regras de negócio rn-001 a rn-090, garantindo aderência ao MVP e às regras do FieldOps.</t>
  </si>
  <si>
    <t>FOP-012</t>
  </si>
  <si>
    <t>3.4</t>
  </si>
  <si>
    <t>Escrever User Stories</t>
  </si>
  <si>
    <t>Executar: escrever user stories, garantindo aderência ao MVP e às regras do FieldOps.</t>
  </si>
  <si>
    <t>FOP-013</t>
  </si>
  <si>
    <t>3.5</t>
  </si>
  <si>
    <t>Definir critérios de aceitação</t>
  </si>
  <si>
    <t>Executar: definir critérios de aceitação, garantindo aderência ao MVP e às regras do FieldOps.</t>
  </si>
  <si>
    <t>FOP-014</t>
  </si>
  <si>
    <t>4.1</t>
  </si>
  <si>
    <t>UX/UI e Prototipação</t>
  </si>
  <si>
    <t>Mapear fluxos de usuário</t>
  </si>
  <si>
    <t>Executar: mapear fluxos de usuário, garantindo aderência ao MVP e às regras do FieldOps.</t>
  </si>
  <si>
    <t>UX/UI Designer</t>
  </si>
  <si>
    <t>FOP-015</t>
  </si>
  <si>
    <t>4.2</t>
  </si>
  <si>
    <t>Criar wireframes mobile</t>
  </si>
  <si>
    <t>Executar: criar wireframes mobile, garantindo aderência ao MVP e às regras do FieldOps.</t>
  </si>
  <si>
    <t>FOP-016</t>
  </si>
  <si>
    <t>4.3</t>
  </si>
  <si>
    <t>Criar wireframes administrativos</t>
  </si>
  <si>
    <t>Executar: criar wireframes administrativos, garantindo aderência ao MVP e às regras do FieldOps.</t>
  </si>
  <si>
    <t>FOP-017</t>
  </si>
  <si>
    <t>4.4</t>
  </si>
  <si>
    <t>Criar protótipo de inspeções</t>
  </si>
  <si>
    <t>Executar: criar protótipo de inspeções, garantindo aderência ao MVP e às regras do FieldOps.</t>
  </si>
  <si>
    <t>FOP-018</t>
  </si>
  <si>
    <t>4.5</t>
  </si>
  <si>
    <t>Criar protótipo de checklist</t>
  </si>
  <si>
    <t>Executar: criar protótipo de checklist, garantindo aderência ao MVP e às regras do FieldOps.</t>
  </si>
  <si>
    <t>FOP-019</t>
  </si>
  <si>
    <t>4.6</t>
  </si>
  <si>
    <t>Criar protótipo de revisão administrativa</t>
  </si>
  <si>
    <t>Executar: criar protótipo de revisão administrativa, garantindo aderência ao MVP e às regras do FieldOps.</t>
  </si>
  <si>
    <t>FOP-020</t>
  </si>
  <si>
    <t>5.1</t>
  </si>
  <si>
    <t>Arquitetura e Modelagem</t>
  </si>
  <si>
    <t>Definir arquitetura das aplicações</t>
  </si>
  <si>
    <t>Executar: definir arquitetura das aplicações, garantindo aderência ao MVP e às regras do FieldOps.</t>
  </si>
  <si>
    <t>Equipe de Desenvolvimento</t>
  </si>
  <si>
    <t>FOP-021</t>
  </si>
  <si>
    <t>5.2</t>
  </si>
  <si>
    <t>Modelar banco relacional</t>
  </si>
  <si>
    <t>Executar: modelar banco relacional, garantindo aderência ao MVP e às regras do FieldOps.</t>
  </si>
  <si>
    <t>FOP-022</t>
  </si>
  <si>
    <t>5.3</t>
  </si>
  <si>
    <t>Criar diagrama ER</t>
  </si>
  <si>
    <t>Executar: criar diagrama er, garantindo aderência ao MVP e às regras do FieldOps.</t>
  </si>
  <si>
    <t>FOP-023</t>
  </si>
  <si>
    <t>5.4</t>
  </si>
  <si>
    <t>Definir contratos REST</t>
  </si>
  <si>
    <t>Executar: definir contratos rest, garantindo aderência ao MVP e às regras do FieldOps.</t>
  </si>
  <si>
    <t>FOP-024</t>
  </si>
  <si>
    <t>5.5</t>
  </si>
  <si>
    <t>Definir estratégia offline e sincronização</t>
  </si>
  <si>
    <t>Executar: definir estratégia offline e sincronização, garantindo aderência ao MVP e às regras do FieldOps.</t>
  </si>
  <si>
    <t>FOP-025</t>
  </si>
  <si>
    <t>6.1</t>
  </si>
  <si>
    <t>Desenvolvimento do Back-end</t>
  </si>
  <si>
    <t>Configurar API REST</t>
  </si>
  <si>
    <t>Executar: configurar api rest, garantindo aderência ao MVP e às regras do FieldOps.</t>
  </si>
  <si>
    <t>Desenvolvedor Back-end</t>
  </si>
  <si>
    <t>FOP-026</t>
  </si>
  <si>
    <t>6.2</t>
  </si>
  <si>
    <t>Configurar persistência e migrações</t>
  </si>
  <si>
    <t>Executar: configurar persistência e migrações, garantindo aderência ao MVP e às regras do FieldOps.</t>
  </si>
  <si>
    <t>FOP-027</t>
  </si>
  <si>
    <t>6.3</t>
  </si>
  <si>
    <t>Implementar usuários e perfis</t>
  </si>
  <si>
    <t>Executar: implementar usuários e perfis, garantindo aderência ao MVP e às regras do FieldOps.</t>
  </si>
  <si>
    <t>FOP-028</t>
  </si>
  <si>
    <t>6.4</t>
  </si>
  <si>
    <t>Implementar autenticação</t>
  </si>
  <si>
    <t>Executar: implementar autenticação, garantindo aderência ao MVP e às regras do FieldOps.</t>
  </si>
  <si>
    <t>FOP-029</t>
  </si>
  <si>
    <t>6.5</t>
  </si>
  <si>
    <t>Implementar autorização</t>
  </si>
  <si>
    <t>Executar: implementar autorização, garantindo aderência ao MVP e às regras do FieldOps.</t>
  </si>
  <si>
    <t>FOP-030</t>
  </si>
  <si>
    <t>6.6</t>
  </si>
  <si>
    <t>Implementar clientes, locais e equipamentos</t>
  </si>
  <si>
    <t>Executar: implementar clientes, locais e equipamentos, garantindo aderência ao MVP e às regras do FieldOps.</t>
  </si>
  <si>
    <t>FOP-031</t>
  </si>
  <si>
    <t>6.7</t>
  </si>
  <si>
    <t>Implementar modelos e versionamento</t>
  </si>
  <si>
    <t>Executar: implementar modelos e versionamento, garantindo aderência ao MVP e às regras do FieldOps.</t>
  </si>
  <si>
    <t>FOP-032</t>
  </si>
  <si>
    <t>6.8</t>
  </si>
  <si>
    <t>Implementar inspeções e snapshots</t>
  </si>
  <si>
    <t>Executar: implementar inspeções e snapshots, garantindo aderência ao MVP e às regras do FieldOps.</t>
  </si>
  <si>
    <t>FOP-033</t>
  </si>
  <si>
    <t>6.9</t>
  </si>
  <si>
    <t>Implementar respostas e observações</t>
  </si>
  <si>
    <t>Executar: implementar respostas e observações, garantindo aderência ao MVP e às regras do FieldOps.</t>
  </si>
  <si>
    <t>FOP-034</t>
  </si>
  <si>
    <t>6.10</t>
  </si>
  <si>
    <t>Implementar evidências e não conformidades</t>
  </si>
  <si>
    <t>Executar: implementar evidências e não conformidades, garantindo aderência ao MVP e às regras do FieldOps.</t>
  </si>
  <si>
    <t>FOP-035</t>
  </si>
  <si>
    <t>6.11</t>
  </si>
  <si>
    <t>Implementar revisão e auditoria</t>
  </si>
  <si>
    <t>Executar: implementar revisão e auditoria, garantindo aderência ao MVP e às regras do FieldOps.</t>
  </si>
  <si>
    <t>FOP-036</t>
  </si>
  <si>
    <t>7.1</t>
  </si>
  <si>
    <t>Desenvolvimento da Interface Web</t>
  </si>
  <si>
    <t>Configurar projeto web</t>
  </si>
  <si>
    <t>Executar: configurar projeto web, garantindo aderência ao MVP e às regras do FieldOps.</t>
  </si>
  <si>
    <t>Desenvolvedor Front-end</t>
  </si>
  <si>
    <t>FOP-037</t>
  </si>
  <si>
    <t>7.2</t>
  </si>
  <si>
    <t>Implementar login e guards</t>
  </si>
  <si>
    <t>Executar: implementar login e guards, garantindo aderência ao MVP e às regras do FieldOps.</t>
  </si>
  <si>
    <t>FOP-038</t>
  </si>
  <si>
    <t>7.3</t>
  </si>
  <si>
    <t>Implementar gestão de usuários</t>
  </si>
  <si>
    <t>Executar: implementar gestão de usuários, garantindo aderência ao MVP e às regras do FieldOps.</t>
  </si>
  <si>
    <t>FOP-039</t>
  </si>
  <si>
    <t>7.4</t>
  </si>
  <si>
    <t>FOP-040</t>
  </si>
  <si>
    <t>7.5</t>
  </si>
  <si>
    <t>Implementar modelos de inspeção</t>
  </si>
  <si>
    <t>Executar: implementar modelos de inspeção, garantindo aderência ao MVP e às regras do FieldOps.</t>
  </si>
  <si>
    <t>FOP-041</t>
  </si>
  <si>
    <t>7.6</t>
  </si>
  <si>
    <t>Implementar agendamento e atribuição</t>
  </si>
  <si>
    <t>Executar: implementar agendamento e atribuição, garantindo aderência ao MVP e às regras do FieldOps.</t>
  </si>
  <si>
    <t>FOP-042</t>
  </si>
  <si>
    <t>7.7</t>
  </si>
  <si>
    <t>Implementar acompanhamento de inspeções</t>
  </si>
  <si>
    <t>Executar: implementar acompanhamento de inspeções, garantindo aderência ao MVP e às regras do FieldOps.</t>
  </si>
  <si>
    <t>FOP-043</t>
  </si>
  <si>
    <t>7.8</t>
  </si>
  <si>
    <t>Implementar revisão e decisão</t>
  </si>
  <si>
    <t>Executar: implementar revisão e decisão, garantindo aderência ao MVP e às regras do FieldOps.</t>
  </si>
  <si>
    <t>FOP-044</t>
  </si>
  <si>
    <t>8.1</t>
  </si>
  <si>
    <t>Desenvolvimento do Aplicativo Mobile</t>
  </si>
  <si>
    <t>Configurar React Native/Expo</t>
  </si>
  <si>
    <t>Executar: configurar react native/expo, garantindo aderência ao MVP e às regras do FieldOps.</t>
  </si>
  <si>
    <t>Desenvolvedor Mobile</t>
  </si>
  <si>
    <t>FOP-045</t>
  </si>
  <si>
    <t>8.2</t>
  </si>
  <si>
    <t>Implementar navegação protegida</t>
  </si>
  <si>
    <t>Executar: implementar navegação protegida, garantindo aderência ao MVP e às regras do FieldOps.</t>
  </si>
  <si>
    <t>FOP-046</t>
  </si>
  <si>
    <t>8.3</t>
  </si>
  <si>
    <t>Implementar login e sessão</t>
  </si>
  <si>
    <t>Executar: implementar login e sessão, garantindo aderência ao MVP e às regras do FieldOps.</t>
  </si>
  <si>
    <t>FOP-047</t>
  </si>
  <si>
    <t>8.4</t>
  </si>
  <si>
    <t>Implementar lista e detalhe de inspeções</t>
  </si>
  <si>
    <t>Executar: implementar lista e detalhe de inspeções, garantindo aderência ao MVP e às regras do FieldOps.</t>
  </si>
  <si>
    <t>FOP-048</t>
  </si>
  <si>
    <t>8.5</t>
  </si>
  <si>
    <t>Implementar checklist dinâmico</t>
  </si>
  <si>
    <t>Executar: implementar checklist dinâmico, garantindo aderência ao MVP e às regras do FieldOps.</t>
  </si>
  <si>
    <t>FOP-049</t>
  </si>
  <si>
    <t>8.6</t>
  </si>
  <si>
    <t>Implementar captura de fotos</t>
  </si>
  <si>
    <t>Executar: implementar captura de fotos, garantindo aderência ao MVP e às regras do FieldOps.</t>
  </si>
  <si>
    <t>FOP-050</t>
  </si>
  <si>
    <t>8.7</t>
  </si>
  <si>
    <t>Implementar leitura de QR Code</t>
  </si>
  <si>
    <t>Executar: implementar leitura de qr code, garantindo aderência ao MVP e às regras do FieldOps.</t>
  </si>
  <si>
    <t>FOP-051</t>
  </si>
  <si>
    <t>8.8</t>
  </si>
  <si>
    <t>Implementar localização</t>
  </si>
  <si>
    <t>Executar: implementar localização, garantindo aderência ao MVP e às regras do FieldOps.</t>
  </si>
  <si>
    <t>FOP-052</t>
  </si>
  <si>
    <t>8.9</t>
  </si>
  <si>
    <t>Implementar não conformidades</t>
  </si>
  <si>
    <t>Executar: implementar não conformidades, garantindo aderência ao MVP e às regras do FieldOps.</t>
  </si>
  <si>
    <t>FOP-053</t>
  </si>
  <si>
    <t>9.1</t>
  </si>
  <si>
    <t>Offline e Sincronização</t>
  </si>
  <si>
    <t>Modelar banco local</t>
  </si>
  <si>
    <t>Executar: modelar banco local, garantindo aderência ao MVP e às regras do FieldOps.</t>
  </si>
  <si>
    <t>FOP-054</t>
  </si>
  <si>
    <t>9.2</t>
  </si>
  <si>
    <t>Implementar download para uso offline</t>
  </si>
  <si>
    <t>Executar: implementar download para uso offline, garantindo aderência ao MVP e às regras do FieldOps.</t>
  </si>
  <si>
    <t>FOP-055</t>
  </si>
  <si>
    <t>9.3</t>
  </si>
  <si>
    <t>Implementar outbox persistente</t>
  </si>
  <si>
    <t>Executar: implementar outbox persistente, garantindo aderência ao MVP e às regras do FieldOps.</t>
  </si>
  <si>
    <t>FOP-056</t>
  </si>
  <si>
    <t>9.4</t>
  </si>
  <si>
    <t>Implementar envio idempotente</t>
  </si>
  <si>
    <t>Executar: implementar envio idempotente, garantindo aderência ao MVP e às regras do FieldOps.</t>
  </si>
  <si>
    <t>FOP-057</t>
  </si>
  <si>
    <t>9.5</t>
  </si>
  <si>
    <t>Implementar sincronização por cursor</t>
  </si>
  <si>
    <t>Executar: implementar sincronização por cursor, garantindo aderência ao MVP e às regras do FieldOps.</t>
  </si>
  <si>
    <t>FOP-058</t>
  </si>
  <si>
    <t>9.6</t>
  </si>
  <si>
    <t>Implementar tratamento de conflitos</t>
  </si>
  <si>
    <t>Executar: implementar tratamento de conflitos, garantindo aderência ao MVP e às regras do FieldOps.</t>
  </si>
  <si>
    <t>FOP-059</t>
  </si>
  <si>
    <t>10.1</t>
  </si>
  <si>
    <t>Integração</t>
  </si>
  <si>
    <t>Integrar mobile com API</t>
  </si>
  <si>
    <t>Executar: integrar mobile com api, garantindo aderência ao MVP e às regras do FieldOps.</t>
  </si>
  <si>
    <t>Desenvolvedor Full Stack</t>
  </si>
  <si>
    <t>FOP-060</t>
  </si>
  <si>
    <t>10.2</t>
  </si>
  <si>
    <t>Integrar web com API</t>
  </si>
  <si>
    <t>Executar: integrar web com api, garantindo aderência ao MVP e às regras do FieldOps.</t>
  </si>
  <si>
    <t>FOP-061</t>
  </si>
  <si>
    <t>10.3</t>
  </si>
  <si>
    <t>Validar fluxo ponta a ponta</t>
  </si>
  <si>
    <t>Executar: validar fluxo ponta a ponta, garantindo aderência ao MVP e às regras do FieldOps.</t>
  </si>
  <si>
    <t>FOP-062</t>
  </si>
  <si>
    <t>11.1</t>
  </si>
  <si>
    <t>Testes</t>
  </si>
  <si>
    <t>Criar plano e casos de teste</t>
  </si>
  <si>
    <t>Executar: criar plano e casos de teste, garantindo aderência ao MVP e às regras do FieldOps.</t>
  </si>
  <si>
    <t>QA/Testes</t>
  </si>
  <si>
    <t>FOP-063</t>
  </si>
  <si>
    <t>11.2</t>
  </si>
  <si>
    <t>Testar autenticação e autorização</t>
  </si>
  <si>
    <t>Executar: testar autenticação e autorização, garantindo aderência ao MVP e às regras do FieldOps.</t>
  </si>
  <si>
    <t>FOP-064</t>
  </si>
  <si>
    <t>11.3</t>
  </si>
  <si>
    <t>Testar execução e recursos nativos</t>
  </si>
  <si>
    <t>Executar: testar execução e recursos nativos, garantindo aderência ao MVP e às regras do FieldOps.</t>
  </si>
  <si>
    <t>FOP-065</t>
  </si>
  <si>
    <t>11.4</t>
  </si>
  <si>
    <t>Testar offline e sincronização</t>
  </si>
  <si>
    <t>Executar: testar offline e sincronização, garantindo aderência ao MVP e às regras do FieldOps.</t>
  </si>
  <si>
    <t>FOP-066</t>
  </si>
  <si>
    <t>11.5</t>
  </si>
  <si>
    <t>Executar testes integrados</t>
  </si>
  <si>
    <t>Executar: executar testes integrados, garantindo aderência ao MVP e às regras do FieldOps.</t>
  </si>
  <si>
    <t>FOP-067</t>
  </si>
  <si>
    <t>12.1</t>
  </si>
  <si>
    <t>Correções e Refinamentos</t>
  </si>
  <si>
    <t>Corrigir defeitos críticos e altos</t>
  </si>
  <si>
    <t>Executar: corrigir defeitos críticos e altos, garantindo aderência ao MVP e às regras do FieldOps.</t>
  </si>
  <si>
    <t>FOP-068</t>
  </si>
  <si>
    <t>12.2</t>
  </si>
  <si>
    <t>Executar regressão do MVP</t>
  </si>
  <si>
    <t>Executar: executar regressão do mvp, garantindo aderência ao MVP e às regras do FieldOps.</t>
  </si>
  <si>
    <t>FOP-069</t>
  </si>
  <si>
    <t>13.1</t>
  </si>
  <si>
    <t>Implantação</t>
  </si>
  <si>
    <t>Configurar Docker e Docker Compose</t>
  </si>
  <si>
    <t>Executar: configurar docker e docker compose, garantindo aderência ao MVP e às regras do FieldOps.</t>
  </si>
  <si>
    <t>DevOps</t>
  </si>
  <si>
    <t>FOP-070</t>
  </si>
  <si>
    <t>13.2</t>
  </si>
  <si>
    <t>Preparar ambiente de demonstração</t>
  </si>
  <si>
    <t>Executar: preparar ambiente de demonstração, garantindo aderência ao MVP e às regras do FieldOps.</t>
  </si>
  <si>
    <t>FOP-071</t>
  </si>
  <si>
    <t>13.3</t>
  </si>
  <si>
    <t>Gerar build Android</t>
  </si>
  <si>
    <t>Executar: gerar build android, garantindo aderência ao MVP e às regras do FieldOps.</t>
  </si>
  <si>
    <t>FOP-072</t>
  </si>
  <si>
    <t>14.1</t>
  </si>
  <si>
    <t>Documentação Final</t>
  </si>
  <si>
    <t>Atualizar README e instalação</t>
  </si>
  <si>
    <t>Executar: atualizar readme e instalação, garantindo aderência ao MVP e às regras do FieldOps.</t>
  </si>
  <si>
    <t>Equipe do Projeto</t>
  </si>
  <si>
    <t>Média</t>
  </si>
  <si>
    <t>FOP-073</t>
  </si>
  <si>
    <t>14.2</t>
  </si>
  <si>
    <t>Finalizar documentação da API</t>
  </si>
  <si>
    <t>Executar: finalizar documentação da api, garantindo aderência ao MVP e às regras do FieldOps.</t>
  </si>
  <si>
    <t>FOP-074</t>
  </si>
  <si>
    <t>14.3</t>
  </si>
  <si>
    <t>Elaborar manual e relatório final</t>
  </si>
  <si>
    <t>Executar: elaborar manual e relatório final, garantindo aderência ao MVP e às regras do FieldOps.</t>
  </si>
  <si>
    <t>FOP-075</t>
  </si>
  <si>
    <t>15.1</t>
  </si>
  <si>
    <t>Encerramento</t>
  </si>
  <si>
    <t>Homologar MVP</t>
  </si>
  <si>
    <t>Executar: homologar mvp, garantindo aderência ao MVP e às regras do FieldOps.</t>
  </si>
  <si>
    <t>FOP-076</t>
  </si>
  <si>
    <t>15.2</t>
  </si>
  <si>
    <t>Realizar entrega e encerramento</t>
  </si>
  <si>
    <t>Executar: realizar entrega e encerramento, garantindo aderência ao MVP e às regras do FieldOps.</t>
  </si>
  <si>
    <t>Data</t>
  </si>
  <si>
    <t>Resultado esperado</t>
  </si>
  <si>
    <t>Conclusão de formalizar início do projeto</t>
  </si>
  <si>
    <t>Conclusão de homologar mvp</t>
  </si>
  <si>
    <t>Conclusão de realizar entrega e encerramento</t>
  </si>
  <si>
    <t>Conclusão de consolidar requisitos funcionais</t>
  </si>
  <si>
    <t>Conclusão de criar protótipo de revisão administrativa</t>
  </si>
  <si>
    <t>Conclusão de definir contratos rest</t>
  </si>
  <si>
    <t>Conclusão de implementar revisão e auditoria</t>
  </si>
  <si>
    <t>Conclusão de validar fluxo ponta a ponta</t>
  </si>
  <si>
    <t>Conclusão de executar testes integrados</t>
  </si>
  <si>
    <t>Conclusão de gerar build android</t>
  </si>
  <si>
    <t>Quantidade de atividades</t>
  </si>
  <si>
    <t>Atividades principais</t>
  </si>
  <si>
    <t>Carga estimada</t>
  </si>
  <si>
    <t>Formalizar início do projeto; Consolidar documento de visão; Configurar repositório GitHub</t>
  </si>
  <si>
    <t>Consolidar requisitos funcionais; Consolidar requisitos não funcionais; Revisar regras de negócio RN-001 a RN-090</t>
  </si>
  <si>
    <t>Mapear fluxos de usuário; Criar wireframes mobile; Criar wireframes administrativos</t>
  </si>
  <si>
    <t>Definir arquitetura das aplicações; Modelar banco relacional; Criar diagrama ER</t>
  </si>
  <si>
    <t>Configurar API REST; Configurar persistência e migrações; Implementar usuários e perfis</t>
  </si>
  <si>
    <t>Configurar projeto web; Implementar login e guards; Implementar gestão de usuários</t>
  </si>
  <si>
    <t>Configurar React Native/Expo; Implementar navegação protegida; Implementar login e sessão</t>
  </si>
  <si>
    <t>Integrar mobile com API; Integrar web com API; Validar fluxo ponta a ponta</t>
  </si>
  <si>
    <t>Criar plano e casos de teste; Testar autenticação e autorização; Testar execução e recursos nativos</t>
  </si>
  <si>
    <t>Configurar Docker e Docker Compose; Preparar ambiente de demonstração; Gerar build Android</t>
  </si>
  <si>
    <t>Atualizar README e instalação; Finalizar documentação da API; Elaborar manual e relatório final</t>
  </si>
  <si>
    <t>FieldOps — Resumo Executivo do Cronograma</t>
  </si>
  <si>
    <t>Indicador</t>
  </si>
  <si>
    <t>Valor</t>
  </si>
  <si>
    <t>Quantidade</t>
  </si>
  <si>
    <t>Projeto</t>
  </si>
  <si>
    <t>FieldOps — Plataforma de Inspeção em Campo</t>
  </si>
  <si>
    <t>Período</t>
  </si>
  <si>
    <t>Agosto a Novembro de 2026</t>
  </si>
  <si>
    <t>Em andamento</t>
  </si>
  <si>
    <t>Total de itens</t>
  </si>
  <si>
    <t>Concluída</t>
  </si>
  <si>
    <t>Fases</t>
  </si>
  <si>
    <t>Atrasada</t>
  </si>
  <si>
    <t>Marcos principais</t>
  </si>
  <si>
    <t>Bloqueada</t>
  </si>
  <si>
    <t>Início previsto</t>
  </si>
  <si>
    <t>Término previsto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</si>
</sst>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u/>
      <sz val="16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4F81BD"/>
      </patternFill>
    </fill>
    <fill>
      <patternFill patternType="solid">
        <fgColor rgb="FFF4A261"/>
      </patternFill>
    </fill>
    <fill>
      <patternFill patternType="solid">
        <fgColor rgb="FF8E6BBE"/>
      </patternFill>
    </fill>
    <fill>
      <patternFill patternType="solid">
        <fgColor rgb="FF2A9D8F"/>
      </patternFill>
    </fill>
    <fill>
      <patternFill patternType="solid">
        <fgColor rgb="FF163B65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NumberFormat="1" applyFont="1" applyFill="1" applyBorder="1"/>
    <xf numFmtId="0" fontId="0" fillId="4" borderId="0" xfId="0" applyNumberFormat="1" applyFont="1" applyFill="1" applyBorder="1"/>
    <xf numFmtId="0" fontId="0" fillId="5" borderId="0" xfId="0" applyNumberFormat="1" applyFont="1" applyFill="1" applyBorder="1"/>
    <xf numFmtId="0" fontId="0" fillId="6" borderId="0" xfId="0" applyNumberFormat="1" applyFont="1" applyFill="1" applyBorder="1"/>
    <xf numFmtId="0" fontId="2" fillId="8" borderId="0" xfId="0" applyNumberFormat="1" applyFont="1" applyFill="1" applyBorder="1"/>
    <xf numFmtId="0" fontId="2" fillId="8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14" fontId="0" fillId="0" borderId="0" xfId="0" applyNumberFormat="1" applyFont="1" applyFill="1" applyBorder="1" applyAlignment="1">
      <alignment wrapText="1"/>
    </xf>
    <xf numFmtId="9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/>
    <xf numFmtId="0" fontId="2" fillId="7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065F46"/>
      </font>
      <fill>
        <patternFill patternType="solid">
          <bgColor rgb="FF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onogramaTable" displayName="CronogramaTable" ref="A4:O80" totalsRowShown="0">
  <tableColumns count="15">
    <tableColumn id="1" xr3:uid="{00000000-0010-0000-0000-000001000000}" name="ID"/>
    <tableColumn id="2" xr3:uid="{00000000-0010-0000-0000-000002000000}" name="WBS"/>
    <tableColumn id="3" xr3:uid="{00000000-0010-0000-0000-000003000000}" name="Fase"/>
    <tableColumn id="4" xr3:uid="{00000000-0010-0000-0000-000004000000}" name="Atividade / Entrega"/>
    <tableColumn id="5" xr3:uid="{00000000-0010-0000-0000-000005000000}" name="Descrição"/>
    <tableColumn id="6" xr3:uid="{00000000-0010-0000-0000-000006000000}" name="Responsável"/>
    <tableColumn id="7" xr3:uid="{00000000-0010-0000-0000-000007000000}" name="Data de Início"/>
    <tableColumn id="8" xr3:uid="{00000000-0010-0000-0000-000008000000}" name="Data de Término"/>
    <tableColumn id="9" xr3:uid="{00000000-0010-0000-0000-000009000000}" name="Duração"/>
    <tableColumn id="10" xr3:uid="{00000000-0010-0000-0000-00000A000000}" name="Dependência"/>
    <tableColumn id="11" xr3:uid="{00000000-0010-0000-0000-00000B000000}" name="Prioridade"/>
    <tableColumn id="12" xr3:uid="{00000000-0010-0000-0000-00000C000000}" name="Status"/>
    <tableColumn id="13" xr3:uid="{00000000-0010-0000-0000-00000D000000}" name="% Concluído"/>
    <tableColumn id="14" xr3:uid="{00000000-0010-0000-0000-00000E000000}" name="Tipo"/>
    <tableColumn id="15" xr3:uid="{00000000-0010-0000-0000-00000F000000}" name="Mar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0"/>
  <sheetViews>
    <sheetView tabSelected="1" zoomScale="70" zoomScaleNormal="70" workbookViewId="0">
      <selection sqref="A1:AE1"/>
    </sheetView>
  </sheetViews>
  <sheetFormatPr defaultRowHeight="13.8"/>
  <cols>
    <col min="1" max="1" width="11" customWidth="1"/>
    <col min="2" max="2" width="8" customWidth="1"/>
    <col min="3" max="3" width="28" customWidth="1"/>
    <col min="4" max="4" width="34" customWidth="1"/>
    <col min="5" max="5" width="42" customWidth="1"/>
    <col min="6" max="6" width="25" customWidth="1"/>
    <col min="7" max="8" width="13" customWidth="1"/>
    <col min="9" max="9" width="10" customWidth="1"/>
    <col min="10" max="10" width="12" customWidth="1"/>
    <col min="11" max="11" width="10" customWidth="1"/>
    <col min="12" max="12" width="14" customWidth="1"/>
    <col min="13" max="14" width="11" customWidth="1"/>
    <col min="15" max="15" width="9" customWidth="1"/>
    <col min="16" max="31" width="5" customWidth="1"/>
  </cols>
  <sheetData>
    <row r="1" spans="1:31" ht="24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 spans="1:31">
      <c r="A2" t="s">
        <v>1</v>
      </c>
      <c r="C2" s="1" t="s">
        <v>2</v>
      </c>
      <c r="D2" s="1"/>
      <c r="E2" s="2" t="s">
        <v>3</v>
      </c>
      <c r="F2" s="2"/>
      <c r="G2" s="3" t="s">
        <v>4</v>
      </c>
      <c r="H2" s="3"/>
      <c r="I2" s="4" t="s">
        <v>5</v>
      </c>
      <c r="J2" s="4"/>
    </row>
    <row r="3" spans="1:31">
      <c r="P3" s="13" t="s">
        <v>6</v>
      </c>
      <c r="Q3" s="13"/>
      <c r="R3" s="13"/>
      <c r="S3" s="13"/>
      <c r="T3" s="13" t="s">
        <v>7</v>
      </c>
      <c r="U3" s="13"/>
      <c r="V3" s="13"/>
      <c r="W3" s="13"/>
      <c r="X3" s="13" t="s">
        <v>8</v>
      </c>
      <c r="Y3" s="13"/>
      <c r="Z3" s="13"/>
      <c r="AA3" s="13"/>
      <c r="AB3" s="13" t="s">
        <v>9</v>
      </c>
      <c r="AC3" s="13"/>
      <c r="AD3" s="13"/>
      <c r="AE3" s="13"/>
    </row>
    <row r="4" spans="1:31" ht="27.6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28</v>
      </c>
      <c r="T4" s="6" t="s">
        <v>25</v>
      </c>
      <c r="U4" s="6" t="s">
        <v>26</v>
      </c>
      <c r="V4" s="6" t="s">
        <v>27</v>
      </c>
      <c r="W4" s="6" t="s">
        <v>28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25</v>
      </c>
      <c r="AC4" s="6" t="s">
        <v>26</v>
      </c>
      <c r="AD4" s="6" t="s">
        <v>27</v>
      </c>
      <c r="AE4" s="6" t="s">
        <v>28</v>
      </c>
    </row>
    <row r="5" spans="1:31" ht="22.35" customHeight="1">
      <c r="A5" s="9" t="s">
        <v>29</v>
      </c>
      <c r="B5" s="9" t="s">
        <v>30</v>
      </c>
      <c r="C5" s="9" t="s">
        <v>31</v>
      </c>
      <c r="D5" s="9" t="s">
        <v>32</v>
      </c>
      <c r="E5" s="9" t="s">
        <v>33</v>
      </c>
      <c r="F5" s="9" t="s">
        <v>34</v>
      </c>
      <c r="G5" s="10">
        <v>46237</v>
      </c>
      <c r="H5" s="10">
        <v>46237</v>
      </c>
      <c r="I5" s="9">
        <f t="shared" ref="I5:I36" si="0">NETWORKDAYS(G5,H5)</f>
        <v>1</v>
      </c>
      <c r="J5" s="9"/>
      <c r="K5" s="9" t="s">
        <v>35</v>
      </c>
      <c r="L5" s="9" t="s">
        <v>36</v>
      </c>
      <c r="M5" s="11">
        <v>0</v>
      </c>
      <c r="N5" s="9" t="s">
        <v>24</v>
      </c>
      <c r="O5" s="9" t="s">
        <v>37</v>
      </c>
      <c r="P5" s="4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22.35" customHeight="1">
      <c r="A6" s="9" t="s">
        <v>38</v>
      </c>
      <c r="B6" s="9" t="s">
        <v>39</v>
      </c>
      <c r="C6" s="9" t="s">
        <v>31</v>
      </c>
      <c r="D6" s="9" t="s">
        <v>40</v>
      </c>
      <c r="E6" s="9" t="s">
        <v>41</v>
      </c>
      <c r="F6" s="9" t="s">
        <v>34</v>
      </c>
      <c r="G6" s="10">
        <v>46239</v>
      </c>
      <c r="H6" s="10">
        <v>46240</v>
      </c>
      <c r="I6" s="9">
        <f t="shared" si="0"/>
        <v>2</v>
      </c>
      <c r="J6" s="9" t="s">
        <v>29</v>
      </c>
      <c r="K6" s="9" t="s">
        <v>35</v>
      </c>
      <c r="L6" s="9" t="s">
        <v>36</v>
      </c>
      <c r="M6" s="11">
        <v>0</v>
      </c>
      <c r="N6" s="9" t="s">
        <v>42</v>
      </c>
      <c r="O6" s="9" t="s">
        <v>43</v>
      </c>
      <c r="P6" s="1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22.35" customHeight="1">
      <c r="A7" s="9" t="s">
        <v>44</v>
      </c>
      <c r="B7" s="9" t="s">
        <v>45</v>
      </c>
      <c r="C7" s="9" t="s">
        <v>31</v>
      </c>
      <c r="D7" s="9" t="s">
        <v>46</v>
      </c>
      <c r="E7" s="9" t="s">
        <v>47</v>
      </c>
      <c r="F7" s="9" t="s">
        <v>34</v>
      </c>
      <c r="G7" s="10">
        <v>46241</v>
      </c>
      <c r="H7" s="10">
        <v>46246</v>
      </c>
      <c r="I7" s="9">
        <f t="shared" si="0"/>
        <v>4</v>
      </c>
      <c r="J7" s="9" t="s">
        <v>38</v>
      </c>
      <c r="K7" s="9" t="s">
        <v>35</v>
      </c>
      <c r="L7" s="9" t="s">
        <v>36</v>
      </c>
      <c r="M7" s="11">
        <v>0</v>
      </c>
      <c r="N7" s="9" t="s">
        <v>42</v>
      </c>
      <c r="O7" s="9" t="s">
        <v>43</v>
      </c>
      <c r="P7" s="1"/>
      <c r="Q7" s="1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22.35" customHeight="1">
      <c r="A8" s="9" t="s">
        <v>48</v>
      </c>
      <c r="B8" s="9" t="s">
        <v>49</v>
      </c>
      <c r="C8" s="9" t="s">
        <v>50</v>
      </c>
      <c r="D8" s="9" t="s">
        <v>51</v>
      </c>
      <c r="E8" s="9" t="s">
        <v>52</v>
      </c>
      <c r="F8" s="9" t="s">
        <v>34</v>
      </c>
      <c r="G8" s="10">
        <v>46240</v>
      </c>
      <c r="H8" s="10">
        <v>46241</v>
      </c>
      <c r="I8" s="9">
        <f t="shared" si="0"/>
        <v>2</v>
      </c>
      <c r="J8" s="9" t="s">
        <v>44</v>
      </c>
      <c r="K8" s="9" t="s">
        <v>35</v>
      </c>
      <c r="L8" s="9" t="s">
        <v>36</v>
      </c>
      <c r="M8" s="11">
        <v>0</v>
      </c>
      <c r="N8" s="9" t="s">
        <v>42</v>
      </c>
      <c r="O8" s="9" t="s">
        <v>43</v>
      </c>
      <c r="P8" s="1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ht="22.35" customHeight="1">
      <c r="A9" s="9" t="s">
        <v>53</v>
      </c>
      <c r="B9" s="9" t="s">
        <v>54</v>
      </c>
      <c r="C9" s="9" t="s">
        <v>50</v>
      </c>
      <c r="D9" s="9" t="s">
        <v>55</v>
      </c>
      <c r="E9" s="9" t="s">
        <v>56</v>
      </c>
      <c r="F9" s="9" t="s">
        <v>34</v>
      </c>
      <c r="G9" s="10">
        <v>46244</v>
      </c>
      <c r="H9" s="10">
        <v>46245</v>
      </c>
      <c r="I9" s="9">
        <f t="shared" si="0"/>
        <v>2</v>
      </c>
      <c r="J9" s="9" t="s">
        <v>48</v>
      </c>
      <c r="K9" s="9" t="s">
        <v>35</v>
      </c>
      <c r="L9" s="9" t="s">
        <v>36</v>
      </c>
      <c r="M9" s="11">
        <v>0</v>
      </c>
      <c r="N9" s="9" t="s">
        <v>42</v>
      </c>
      <c r="O9" s="9" t="s">
        <v>43</v>
      </c>
      <c r="P9" s="8"/>
      <c r="Q9" s="1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ht="22.35" customHeight="1">
      <c r="A10" s="9" t="s">
        <v>57</v>
      </c>
      <c r="B10" s="9" t="s">
        <v>58</v>
      </c>
      <c r="C10" s="9" t="s">
        <v>50</v>
      </c>
      <c r="D10" s="9" t="s">
        <v>59</v>
      </c>
      <c r="E10" s="9" t="s">
        <v>60</v>
      </c>
      <c r="F10" s="9" t="s">
        <v>34</v>
      </c>
      <c r="G10" s="10">
        <v>46246</v>
      </c>
      <c r="H10" s="10">
        <v>46247</v>
      </c>
      <c r="I10" s="9">
        <f t="shared" si="0"/>
        <v>2</v>
      </c>
      <c r="J10" s="9" t="s">
        <v>53</v>
      </c>
      <c r="K10" s="9" t="s">
        <v>35</v>
      </c>
      <c r="L10" s="9" t="s">
        <v>36</v>
      </c>
      <c r="M10" s="11">
        <v>0</v>
      </c>
      <c r="N10" s="9" t="s">
        <v>42</v>
      </c>
      <c r="O10" s="9" t="s">
        <v>43</v>
      </c>
      <c r="P10" s="8"/>
      <c r="Q10" s="1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ht="22.35" customHeight="1">
      <c r="A11" s="9" t="s">
        <v>61</v>
      </c>
      <c r="B11" s="9" t="s">
        <v>62</v>
      </c>
      <c r="C11" s="9" t="s">
        <v>50</v>
      </c>
      <c r="D11" s="9" t="s">
        <v>63</v>
      </c>
      <c r="E11" s="9" t="s">
        <v>64</v>
      </c>
      <c r="F11" s="9" t="s">
        <v>34</v>
      </c>
      <c r="G11" s="10">
        <v>46248</v>
      </c>
      <c r="H11" s="10">
        <v>46251</v>
      </c>
      <c r="I11" s="9">
        <f t="shared" si="0"/>
        <v>2</v>
      </c>
      <c r="J11" s="9" t="s">
        <v>57</v>
      </c>
      <c r="K11" s="9" t="s">
        <v>35</v>
      </c>
      <c r="L11" s="9" t="s">
        <v>36</v>
      </c>
      <c r="M11" s="11">
        <v>0</v>
      </c>
      <c r="N11" s="9" t="s">
        <v>42</v>
      </c>
      <c r="O11" s="9" t="s">
        <v>43</v>
      </c>
      <c r="P11" s="8"/>
      <c r="Q11" s="1"/>
      <c r="R11" s="1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ht="22.35" customHeight="1">
      <c r="A12" s="9" t="s">
        <v>65</v>
      </c>
      <c r="B12" s="9" t="s">
        <v>66</v>
      </c>
      <c r="C12" s="9" t="s">
        <v>50</v>
      </c>
      <c r="D12" s="9" t="s">
        <v>67</v>
      </c>
      <c r="E12" s="9" t="s">
        <v>68</v>
      </c>
      <c r="F12" s="9" t="s">
        <v>34</v>
      </c>
      <c r="G12" s="10">
        <v>46252</v>
      </c>
      <c r="H12" s="10">
        <v>46253</v>
      </c>
      <c r="I12" s="9">
        <f t="shared" si="0"/>
        <v>2</v>
      </c>
      <c r="J12" s="9" t="s">
        <v>61</v>
      </c>
      <c r="K12" s="9" t="s">
        <v>35</v>
      </c>
      <c r="L12" s="9" t="s">
        <v>36</v>
      </c>
      <c r="M12" s="11">
        <v>0</v>
      </c>
      <c r="N12" s="9" t="s">
        <v>42</v>
      </c>
      <c r="O12" s="9" t="s">
        <v>43</v>
      </c>
      <c r="P12" s="8"/>
      <c r="Q12" s="8"/>
      <c r="R12" s="1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ht="22.35" customHeight="1">
      <c r="A13" s="9" t="s">
        <v>69</v>
      </c>
      <c r="B13" s="9" t="s">
        <v>70</v>
      </c>
      <c r="C13" s="9" t="s">
        <v>71</v>
      </c>
      <c r="D13" s="9" t="s">
        <v>72</v>
      </c>
      <c r="E13" s="9" t="s">
        <v>73</v>
      </c>
      <c r="F13" s="9" t="s">
        <v>74</v>
      </c>
      <c r="G13" s="10">
        <v>46244</v>
      </c>
      <c r="H13" s="10">
        <v>46245</v>
      </c>
      <c r="I13" s="9">
        <f t="shared" si="0"/>
        <v>2</v>
      </c>
      <c r="J13" s="9" t="s">
        <v>65</v>
      </c>
      <c r="K13" s="9" t="s">
        <v>35</v>
      </c>
      <c r="L13" s="9" t="s">
        <v>36</v>
      </c>
      <c r="M13" s="11">
        <v>0</v>
      </c>
      <c r="N13" s="9" t="s">
        <v>42</v>
      </c>
      <c r="O13" s="9" t="s">
        <v>43</v>
      </c>
      <c r="P13" s="8"/>
      <c r="Q13" s="1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ht="22.35" customHeight="1">
      <c r="A14" s="9" t="s">
        <v>75</v>
      </c>
      <c r="B14" s="9" t="s">
        <v>76</v>
      </c>
      <c r="C14" s="9" t="s">
        <v>71</v>
      </c>
      <c r="D14" s="9" t="s">
        <v>77</v>
      </c>
      <c r="E14" s="9" t="s">
        <v>78</v>
      </c>
      <c r="F14" s="9" t="s">
        <v>74</v>
      </c>
      <c r="G14" s="10">
        <v>46247</v>
      </c>
      <c r="H14" s="10">
        <v>46248</v>
      </c>
      <c r="I14" s="9">
        <f t="shared" si="0"/>
        <v>2</v>
      </c>
      <c r="J14" s="9" t="s">
        <v>69</v>
      </c>
      <c r="K14" s="9" t="s">
        <v>35</v>
      </c>
      <c r="L14" s="9" t="s">
        <v>36</v>
      </c>
      <c r="M14" s="11">
        <v>0</v>
      </c>
      <c r="N14" s="9" t="s">
        <v>42</v>
      </c>
      <c r="O14" s="9" t="s">
        <v>43</v>
      </c>
      <c r="P14" s="8"/>
      <c r="Q14" s="1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ht="22.35" customHeight="1">
      <c r="A15" s="9" t="s">
        <v>79</v>
      </c>
      <c r="B15" s="9" t="s">
        <v>80</v>
      </c>
      <c r="C15" s="9" t="s">
        <v>71</v>
      </c>
      <c r="D15" s="9" t="s">
        <v>81</v>
      </c>
      <c r="E15" s="9" t="s">
        <v>82</v>
      </c>
      <c r="F15" s="9" t="s">
        <v>74</v>
      </c>
      <c r="G15" s="10">
        <v>46252</v>
      </c>
      <c r="H15" s="10">
        <v>46253</v>
      </c>
      <c r="I15" s="9">
        <f t="shared" si="0"/>
        <v>2</v>
      </c>
      <c r="J15" s="9" t="s">
        <v>75</v>
      </c>
      <c r="K15" s="9" t="s">
        <v>35</v>
      </c>
      <c r="L15" s="9" t="s">
        <v>36</v>
      </c>
      <c r="M15" s="11">
        <v>0</v>
      </c>
      <c r="N15" s="9" t="s">
        <v>42</v>
      </c>
      <c r="O15" s="9" t="s">
        <v>43</v>
      </c>
      <c r="P15" s="8"/>
      <c r="Q15" s="8"/>
      <c r="R15" s="1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ht="22.35" customHeight="1">
      <c r="A16" s="9" t="s">
        <v>83</v>
      </c>
      <c r="B16" s="9" t="s">
        <v>84</v>
      </c>
      <c r="C16" s="9" t="s">
        <v>71</v>
      </c>
      <c r="D16" s="9" t="s">
        <v>85</v>
      </c>
      <c r="E16" s="9" t="s">
        <v>86</v>
      </c>
      <c r="F16" s="9" t="s">
        <v>74</v>
      </c>
      <c r="G16" s="10">
        <v>46254</v>
      </c>
      <c r="H16" s="10">
        <v>46255</v>
      </c>
      <c r="I16" s="9">
        <f t="shared" si="0"/>
        <v>2</v>
      </c>
      <c r="J16" s="9" t="s">
        <v>79</v>
      </c>
      <c r="K16" s="9" t="s">
        <v>35</v>
      </c>
      <c r="L16" s="9" t="s">
        <v>36</v>
      </c>
      <c r="M16" s="11">
        <v>0</v>
      </c>
      <c r="N16" s="9" t="s">
        <v>42</v>
      </c>
      <c r="O16" s="9" t="s">
        <v>43</v>
      </c>
      <c r="P16" s="8"/>
      <c r="Q16" s="8"/>
      <c r="R16" s="1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ht="22.35" customHeight="1">
      <c r="A17" s="9" t="s">
        <v>87</v>
      </c>
      <c r="B17" s="9" t="s">
        <v>88</v>
      </c>
      <c r="C17" s="9" t="s">
        <v>71</v>
      </c>
      <c r="D17" s="9" t="s">
        <v>89</v>
      </c>
      <c r="E17" s="9" t="s">
        <v>90</v>
      </c>
      <c r="F17" s="9" t="s">
        <v>74</v>
      </c>
      <c r="G17" s="10">
        <v>46259</v>
      </c>
      <c r="H17" s="10">
        <v>46260</v>
      </c>
      <c r="I17" s="9">
        <f t="shared" si="0"/>
        <v>2</v>
      </c>
      <c r="J17" s="9" t="s">
        <v>83</v>
      </c>
      <c r="K17" s="9" t="s">
        <v>35</v>
      </c>
      <c r="L17" s="9" t="s">
        <v>36</v>
      </c>
      <c r="M17" s="11">
        <v>0</v>
      </c>
      <c r="N17" s="9" t="s">
        <v>42</v>
      </c>
      <c r="O17" s="9" t="s">
        <v>43</v>
      </c>
      <c r="P17" s="8"/>
      <c r="Q17" s="8"/>
      <c r="R17" s="8"/>
      <c r="S17" s="1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ht="22.35" customHeight="1">
      <c r="A18" s="9" t="s">
        <v>91</v>
      </c>
      <c r="B18" s="9" t="s">
        <v>92</v>
      </c>
      <c r="C18" s="9" t="s">
        <v>93</v>
      </c>
      <c r="D18" s="9" t="s">
        <v>94</v>
      </c>
      <c r="E18" s="9" t="s">
        <v>95</v>
      </c>
      <c r="F18" s="9" t="s">
        <v>96</v>
      </c>
      <c r="G18" s="10">
        <v>46258</v>
      </c>
      <c r="H18" s="10">
        <v>46259</v>
      </c>
      <c r="I18" s="9">
        <f t="shared" si="0"/>
        <v>2</v>
      </c>
      <c r="J18" s="9" t="s">
        <v>87</v>
      </c>
      <c r="K18" s="9" t="s">
        <v>35</v>
      </c>
      <c r="L18" s="9" t="s">
        <v>36</v>
      </c>
      <c r="M18" s="11">
        <v>0</v>
      </c>
      <c r="N18" s="9" t="s">
        <v>42</v>
      </c>
      <c r="O18" s="9" t="s">
        <v>43</v>
      </c>
      <c r="P18" s="8"/>
      <c r="Q18" s="8"/>
      <c r="R18" s="8"/>
      <c r="S18" s="1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ht="22.35" customHeight="1">
      <c r="A19" s="9" t="s">
        <v>97</v>
      </c>
      <c r="B19" s="9" t="s">
        <v>98</v>
      </c>
      <c r="C19" s="9" t="s">
        <v>93</v>
      </c>
      <c r="D19" s="9" t="s">
        <v>99</v>
      </c>
      <c r="E19" s="9" t="s">
        <v>100</v>
      </c>
      <c r="F19" s="9" t="s">
        <v>96</v>
      </c>
      <c r="G19" s="10">
        <v>46261</v>
      </c>
      <c r="H19" s="10">
        <v>46262</v>
      </c>
      <c r="I19" s="9">
        <f t="shared" si="0"/>
        <v>2</v>
      </c>
      <c r="J19" s="9" t="s">
        <v>91</v>
      </c>
      <c r="K19" s="9" t="s">
        <v>35</v>
      </c>
      <c r="L19" s="9" t="s">
        <v>36</v>
      </c>
      <c r="M19" s="11">
        <v>0</v>
      </c>
      <c r="N19" s="9" t="s">
        <v>42</v>
      </c>
      <c r="O19" s="9" t="s">
        <v>43</v>
      </c>
      <c r="P19" s="8"/>
      <c r="Q19" s="8"/>
      <c r="R19" s="8"/>
      <c r="S19" s="1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ht="22.35" customHeight="1">
      <c r="A20" s="9" t="s">
        <v>101</v>
      </c>
      <c r="B20" s="9" t="s">
        <v>102</v>
      </c>
      <c r="C20" s="9" t="s">
        <v>93</v>
      </c>
      <c r="D20" s="9" t="s">
        <v>103</v>
      </c>
      <c r="E20" s="9" t="s">
        <v>104</v>
      </c>
      <c r="F20" s="9" t="s">
        <v>96</v>
      </c>
      <c r="G20" s="10">
        <v>46266</v>
      </c>
      <c r="H20" s="10">
        <v>46267</v>
      </c>
      <c r="I20" s="9">
        <f t="shared" si="0"/>
        <v>2</v>
      </c>
      <c r="J20" s="9" t="s">
        <v>97</v>
      </c>
      <c r="K20" s="9" t="s">
        <v>35</v>
      </c>
      <c r="L20" s="9" t="s">
        <v>36</v>
      </c>
      <c r="M20" s="11">
        <v>0</v>
      </c>
      <c r="N20" s="9" t="s">
        <v>42</v>
      </c>
      <c r="O20" s="9" t="s">
        <v>43</v>
      </c>
      <c r="P20" s="8"/>
      <c r="Q20" s="8"/>
      <c r="R20" s="8"/>
      <c r="S20" s="8"/>
      <c r="T20" s="1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ht="22.35" customHeight="1">
      <c r="A21" s="9" t="s">
        <v>105</v>
      </c>
      <c r="B21" s="9" t="s">
        <v>106</v>
      </c>
      <c r="C21" s="9" t="s">
        <v>93</v>
      </c>
      <c r="D21" s="9" t="s">
        <v>107</v>
      </c>
      <c r="E21" s="9" t="s">
        <v>108</v>
      </c>
      <c r="F21" s="9" t="s">
        <v>96</v>
      </c>
      <c r="G21" s="10">
        <v>46272</v>
      </c>
      <c r="H21" s="10">
        <v>46275</v>
      </c>
      <c r="I21" s="9">
        <f t="shared" si="0"/>
        <v>4</v>
      </c>
      <c r="J21" s="9" t="s">
        <v>101</v>
      </c>
      <c r="K21" s="9" t="s">
        <v>35</v>
      </c>
      <c r="L21" s="9" t="s">
        <v>36</v>
      </c>
      <c r="M21" s="11">
        <v>0</v>
      </c>
      <c r="N21" s="9" t="s">
        <v>42</v>
      </c>
      <c r="O21" s="9" t="s">
        <v>43</v>
      </c>
      <c r="P21" s="8"/>
      <c r="Q21" s="8"/>
      <c r="R21" s="8"/>
      <c r="S21" s="8"/>
      <c r="T21" s="1"/>
      <c r="U21" s="1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ht="22.35" customHeight="1">
      <c r="A22" s="9" t="s">
        <v>109</v>
      </c>
      <c r="B22" s="9" t="s">
        <v>110</v>
      </c>
      <c r="C22" s="9" t="s">
        <v>93</v>
      </c>
      <c r="D22" s="9" t="s">
        <v>111</v>
      </c>
      <c r="E22" s="9" t="s">
        <v>112</v>
      </c>
      <c r="F22" s="9" t="s">
        <v>96</v>
      </c>
      <c r="G22" s="10">
        <v>46275</v>
      </c>
      <c r="H22" s="10">
        <v>46280</v>
      </c>
      <c r="I22" s="9">
        <f t="shared" si="0"/>
        <v>4</v>
      </c>
      <c r="J22" s="9" t="s">
        <v>105</v>
      </c>
      <c r="K22" s="9" t="s">
        <v>35</v>
      </c>
      <c r="L22" s="9" t="s">
        <v>36</v>
      </c>
      <c r="M22" s="11">
        <v>0</v>
      </c>
      <c r="N22" s="9" t="s">
        <v>42</v>
      </c>
      <c r="O22" s="9" t="s">
        <v>43</v>
      </c>
      <c r="P22" s="8"/>
      <c r="Q22" s="8"/>
      <c r="R22" s="8"/>
      <c r="S22" s="8"/>
      <c r="T22" s="8"/>
      <c r="U22" s="1"/>
      <c r="V22" s="1"/>
      <c r="W22" s="8"/>
      <c r="X22" s="8"/>
      <c r="Y22" s="8"/>
      <c r="Z22" s="8"/>
      <c r="AA22" s="8"/>
      <c r="AB22" s="8"/>
      <c r="AC22" s="8"/>
      <c r="AD22" s="8"/>
      <c r="AE22" s="8"/>
    </row>
    <row r="23" spans="1:31" ht="22.35" customHeight="1">
      <c r="A23" s="9" t="s">
        <v>113</v>
      </c>
      <c r="B23" s="9" t="s">
        <v>114</v>
      </c>
      <c r="C23" s="9" t="s">
        <v>93</v>
      </c>
      <c r="D23" s="9" t="s">
        <v>115</v>
      </c>
      <c r="E23" s="9" t="s">
        <v>116</v>
      </c>
      <c r="F23" s="9" t="s">
        <v>96</v>
      </c>
      <c r="G23" s="10">
        <v>46280</v>
      </c>
      <c r="H23" s="10">
        <v>46283</v>
      </c>
      <c r="I23" s="9">
        <f t="shared" si="0"/>
        <v>4</v>
      </c>
      <c r="J23" s="9" t="s">
        <v>109</v>
      </c>
      <c r="K23" s="9" t="s">
        <v>35</v>
      </c>
      <c r="L23" s="9" t="s">
        <v>36</v>
      </c>
      <c r="M23" s="11">
        <v>0</v>
      </c>
      <c r="N23" s="9" t="s">
        <v>42</v>
      </c>
      <c r="O23" s="9" t="s">
        <v>43</v>
      </c>
      <c r="P23" s="8"/>
      <c r="Q23" s="8"/>
      <c r="R23" s="8"/>
      <c r="S23" s="8"/>
      <c r="T23" s="8"/>
      <c r="U23" s="8"/>
      <c r="V23" s="1"/>
      <c r="W23" s="8"/>
      <c r="X23" s="8"/>
      <c r="Y23" s="8"/>
      <c r="Z23" s="8"/>
      <c r="AA23" s="8"/>
      <c r="AB23" s="8"/>
      <c r="AC23" s="8"/>
      <c r="AD23" s="8"/>
      <c r="AE23" s="8"/>
    </row>
    <row r="24" spans="1:31" ht="22.35" customHeight="1">
      <c r="A24" s="9" t="s">
        <v>117</v>
      </c>
      <c r="B24" s="9" t="s">
        <v>118</v>
      </c>
      <c r="C24" s="9" t="s">
        <v>119</v>
      </c>
      <c r="D24" s="9" t="s">
        <v>120</v>
      </c>
      <c r="E24" s="9" t="s">
        <v>121</v>
      </c>
      <c r="F24" s="9" t="s">
        <v>122</v>
      </c>
      <c r="G24" s="10">
        <v>46258</v>
      </c>
      <c r="H24" s="10">
        <v>46259</v>
      </c>
      <c r="I24" s="9">
        <f t="shared" si="0"/>
        <v>2</v>
      </c>
      <c r="J24" s="9" t="s">
        <v>113</v>
      </c>
      <c r="K24" s="9" t="s">
        <v>35</v>
      </c>
      <c r="L24" s="9" t="s">
        <v>36</v>
      </c>
      <c r="M24" s="11">
        <v>0</v>
      </c>
      <c r="N24" s="9" t="s">
        <v>42</v>
      </c>
      <c r="O24" s="9" t="s">
        <v>43</v>
      </c>
      <c r="P24" s="8"/>
      <c r="Q24" s="8"/>
      <c r="R24" s="8"/>
      <c r="S24" s="1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ht="22.35" customHeight="1">
      <c r="A25" s="9" t="s">
        <v>123</v>
      </c>
      <c r="B25" s="9" t="s">
        <v>124</v>
      </c>
      <c r="C25" s="9" t="s">
        <v>119</v>
      </c>
      <c r="D25" s="9" t="s">
        <v>125</v>
      </c>
      <c r="E25" s="9" t="s">
        <v>126</v>
      </c>
      <c r="F25" s="9" t="s">
        <v>122</v>
      </c>
      <c r="G25" s="10">
        <v>46262</v>
      </c>
      <c r="H25" s="10">
        <v>46267</v>
      </c>
      <c r="I25" s="9">
        <f t="shared" si="0"/>
        <v>4</v>
      </c>
      <c r="J25" s="9" t="s">
        <v>117</v>
      </c>
      <c r="K25" s="9" t="s">
        <v>35</v>
      </c>
      <c r="L25" s="9" t="s">
        <v>36</v>
      </c>
      <c r="M25" s="11">
        <v>0</v>
      </c>
      <c r="N25" s="9" t="s">
        <v>42</v>
      </c>
      <c r="O25" s="9" t="s">
        <v>43</v>
      </c>
      <c r="P25" s="8"/>
      <c r="Q25" s="8"/>
      <c r="R25" s="8"/>
      <c r="S25" s="1"/>
      <c r="T25" s="1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ht="22.35" customHeight="1">
      <c r="A26" s="9" t="s">
        <v>127</v>
      </c>
      <c r="B26" s="9" t="s">
        <v>128</v>
      </c>
      <c r="C26" s="9" t="s">
        <v>119</v>
      </c>
      <c r="D26" s="9" t="s">
        <v>129</v>
      </c>
      <c r="E26" s="9" t="s">
        <v>130</v>
      </c>
      <c r="F26" s="9" t="s">
        <v>122</v>
      </c>
      <c r="G26" s="10">
        <v>46268</v>
      </c>
      <c r="H26" s="10">
        <v>46269</v>
      </c>
      <c r="I26" s="9">
        <f t="shared" si="0"/>
        <v>2</v>
      </c>
      <c r="J26" s="9" t="s">
        <v>123</v>
      </c>
      <c r="K26" s="9" t="s">
        <v>35</v>
      </c>
      <c r="L26" s="9" t="s">
        <v>36</v>
      </c>
      <c r="M26" s="11">
        <v>0</v>
      </c>
      <c r="N26" s="9" t="s">
        <v>42</v>
      </c>
      <c r="O26" s="9" t="s">
        <v>43</v>
      </c>
      <c r="P26" s="8"/>
      <c r="Q26" s="8"/>
      <c r="R26" s="8"/>
      <c r="S26" s="8"/>
      <c r="T26" s="1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ht="22.35" customHeight="1">
      <c r="A27" s="9" t="s">
        <v>131</v>
      </c>
      <c r="B27" s="9" t="s">
        <v>132</v>
      </c>
      <c r="C27" s="9" t="s">
        <v>119</v>
      </c>
      <c r="D27" s="9" t="s">
        <v>133</v>
      </c>
      <c r="E27" s="9" t="s">
        <v>134</v>
      </c>
      <c r="F27" s="9" t="s">
        <v>122</v>
      </c>
      <c r="G27" s="10">
        <v>46274</v>
      </c>
      <c r="H27" s="10">
        <v>46275</v>
      </c>
      <c r="I27" s="9">
        <f t="shared" si="0"/>
        <v>2</v>
      </c>
      <c r="J27" s="9" t="s">
        <v>127</v>
      </c>
      <c r="K27" s="9" t="s">
        <v>35</v>
      </c>
      <c r="L27" s="9" t="s">
        <v>36</v>
      </c>
      <c r="M27" s="11">
        <v>0</v>
      </c>
      <c r="N27" s="9" t="s">
        <v>42</v>
      </c>
      <c r="O27" s="9" t="s">
        <v>43</v>
      </c>
      <c r="P27" s="8"/>
      <c r="Q27" s="8"/>
      <c r="R27" s="8"/>
      <c r="S27" s="8"/>
      <c r="T27" s="8"/>
      <c r="U27" s="1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ht="22.35" customHeight="1">
      <c r="A28" s="9" t="s">
        <v>135</v>
      </c>
      <c r="B28" s="9" t="s">
        <v>136</v>
      </c>
      <c r="C28" s="9" t="s">
        <v>119</v>
      </c>
      <c r="D28" s="9" t="s">
        <v>137</v>
      </c>
      <c r="E28" s="9" t="s">
        <v>138</v>
      </c>
      <c r="F28" s="9" t="s">
        <v>122</v>
      </c>
      <c r="G28" s="10">
        <v>46280</v>
      </c>
      <c r="H28" s="10">
        <v>46281</v>
      </c>
      <c r="I28" s="9">
        <f t="shared" si="0"/>
        <v>2</v>
      </c>
      <c r="J28" s="9" t="s">
        <v>131</v>
      </c>
      <c r="K28" s="9" t="s">
        <v>35</v>
      </c>
      <c r="L28" s="9" t="s">
        <v>36</v>
      </c>
      <c r="M28" s="11">
        <v>0</v>
      </c>
      <c r="N28" s="9" t="s">
        <v>42</v>
      </c>
      <c r="O28" s="9" t="s">
        <v>43</v>
      </c>
      <c r="P28" s="8"/>
      <c r="Q28" s="8"/>
      <c r="R28" s="8"/>
      <c r="S28" s="8"/>
      <c r="T28" s="8"/>
      <c r="U28" s="8"/>
      <c r="V28" s="1"/>
      <c r="W28" s="8"/>
      <c r="X28" s="8"/>
      <c r="Y28" s="8"/>
      <c r="Z28" s="8"/>
      <c r="AA28" s="8"/>
      <c r="AB28" s="8"/>
      <c r="AC28" s="8"/>
      <c r="AD28" s="8"/>
      <c r="AE28" s="8"/>
    </row>
    <row r="29" spans="1:31" ht="22.35" customHeight="1">
      <c r="A29" s="9" t="s">
        <v>139</v>
      </c>
      <c r="B29" s="9" t="s">
        <v>140</v>
      </c>
      <c r="C29" s="9" t="s">
        <v>141</v>
      </c>
      <c r="D29" s="9" t="s">
        <v>142</v>
      </c>
      <c r="E29" s="9" t="s">
        <v>143</v>
      </c>
      <c r="F29" s="9" t="s">
        <v>144</v>
      </c>
      <c r="G29" s="10">
        <v>46279</v>
      </c>
      <c r="H29" s="10">
        <v>46282</v>
      </c>
      <c r="I29" s="9">
        <f t="shared" si="0"/>
        <v>4</v>
      </c>
      <c r="J29" s="9" t="s">
        <v>135</v>
      </c>
      <c r="K29" s="9" t="s">
        <v>35</v>
      </c>
      <c r="L29" s="9" t="s">
        <v>36</v>
      </c>
      <c r="M29" s="11">
        <v>0</v>
      </c>
      <c r="N29" s="9" t="s">
        <v>42</v>
      </c>
      <c r="O29" s="9" t="s">
        <v>43</v>
      </c>
      <c r="P29" s="8"/>
      <c r="Q29" s="8"/>
      <c r="R29" s="8"/>
      <c r="S29" s="8"/>
      <c r="T29" s="8"/>
      <c r="U29" s="2"/>
      <c r="V29" s="2"/>
      <c r="W29" s="8"/>
      <c r="X29" s="8"/>
      <c r="Y29" s="8"/>
      <c r="Z29" s="8"/>
      <c r="AA29" s="8"/>
      <c r="AB29" s="8"/>
      <c r="AC29" s="8"/>
      <c r="AD29" s="8"/>
      <c r="AE29" s="8"/>
    </row>
    <row r="30" spans="1:31" ht="22.35" customHeight="1">
      <c r="A30" s="9" t="s">
        <v>145</v>
      </c>
      <c r="B30" s="9" t="s">
        <v>146</v>
      </c>
      <c r="C30" s="9" t="s">
        <v>141</v>
      </c>
      <c r="D30" s="9" t="s">
        <v>147</v>
      </c>
      <c r="E30" s="9" t="s">
        <v>148</v>
      </c>
      <c r="F30" s="9" t="s">
        <v>144</v>
      </c>
      <c r="G30" s="10">
        <v>46282</v>
      </c>
      <c r="H30" s="10">
        <v>46287</v>
      </c>
      <c r="I30" s="9">
        <f t="shared" si="0"/>
        <v>4</v>
      </c>
      <c r="J30" s="9" t="s">
        <v>139</v>
      </c>
      <c r="K30" s="9" t="s">
        <v>35</v>
      </c>
      <c r="L30" s="9" t="s">
        <v>36</v>
      </c>
      <c r="M30" s="11">
        <v>0</v>
      </c>
      <c r="N30" s="9" t="s">
        <v>42</v>
      </c>
      <c r="O30" s="9" t="s">
        <v>43</v>
      </c>
      <c r="P30" s="8"/>
      <c r="Q30" s="8"/>
      <c r="R30" s="8"/>
      <c r="S30" s="8"/>
      <c r="T30" s="8"/>
      <c r="U30" s="8"/>
      <c r="V30" s="2"/>
      <c r="W30" s="2"/>
      <c r="X30" s="8"/>
      <c r="Y30" s="8"/>
      <c r="Z30" s="8"/>
      <c r="AA30" s="8"/>
      <c r="AB30" s="8"/>
      <c r="AC30" s="8"/>
      <c r="AD30" s="8"/>
      <c r="AE30" s="8"/>
    </row>
    <row r="31" spans="1:31" ht="22.35" customHeight="1">
      <c r="A31" s="9" t="s">
        <v>149</v>
      </c>
      <c r="B31" s="9" t="s">
        <v>150</v>
      </c>
      <c r="C31" s="9" t="s">
        <v>141</v>
      </c>
      <c r="D31" s="9" t="s">
        <v>151</v>
      </c>
      <c r="E31" s="9" t="s">
        <v>152</v>
      </c>
      <c r="F31" s="9" t="s">
        <v>144</v>
      </c>
      <c r="G31" s="10">
        <v>46286</v>
      </c>
      <c r="H31" s="10">
        <v>46289</v>
      </c>
      <c r="I31" s="9">
        <f t="shared" si="0"/>
        <v>4</v>
      </c>
      <c r="J31" s="9" t="s">
        <v>145</v>
      </c>
      <c r="K31" s="9" t="s">
        <v>35</v>
      </c>
      <c r="L31" s="9" t="s">
        <v>36</v>
      </c>
      <c r="M31" s="11">
        <v>0</v>
      </c>
      <c r="N31" s="9" t="s">
        <v>42</v>
      </c>
      <c r="O31" s="9" t="s">
        <v>43</v>
      </c>
      <c r="P31" s="8"/>
      <c r="Q31" s="8"/>
      <c r="R31" s="8"/>
      <c r="S31" s="8"/>
      <c r="T31" s="8"/>
      <c r="U31" s="8"/>
      <c r="V31" s="2"/>
      <c r="W31" s="2"/>
      <c r="X31" s="8"/>
      <c r="Y31" s="8"/>
      <c r="Z31" s="8"/>
      <c r="AA31" s="8"/>
      <c r="AB31" s="8"/>
      <c r="AC31" s="8"/>
      <c r="AD31" s="8"/>
      <c r="AE31" s="8"/>
    </row>
    <row r="32" spans="1:31" ht="22.35" customHeight="1">
      <c r="A32" s="9" t="s">
        <v>153</v>
      </c>
      <c r="B32" s="9" t="s">
        <v>154</v>
      </c>
      <c r="C32" s="9" t="s">
        <v>141</v>
      </c>
      <c r="D32" s="9" t="s">
        <v>155</v>
      </c>
      <c r="E32" s="9" t="s">
        <v>156</v>
      </c>
      <c r="F32" s="9" t="s">
        <v>144</v>
      </c>
      <c r="G32" s="10">
        <v>46289</v>
      </c>
      <c r="H32" s="10">
        <v>46294</v>
      </c>
      <c r="I32" s="9">
        <f t="shared" si="0"/>
        <v>4</v>
      </c>
      <c r="J32" s="9" t="s">
        <v>149</v>
      </c>
      <c r="K32" s="9" t="s">
        <v>35</v>
      </c>
      <c r="L32" s="9" t="s">
        <v>36</v>
      </c>
      <c r="M32" s="11">
        <v>0</v>
      </c>
      <c r="N32" s="9" t="s">
        <v>42</v>
      </c>
      <c r="O32" s="9" t="s">
        <v>43</v>
      </c>
      <c r="P32" s="8"/>
      <c r="Q32" s="8"/>
      <c r="R32" s="8"/>
      <c r="S32" s="8"/>
      <c r="T32" s="8"/>
      <c r="U32" s="8"/>
      <c r="V32" s="8"/>
      <c r="W32" s="2"/>
      <c r="X32" s="8"/>
      <c r="Y32" s="8"/>
      <c r="Z32" s="8"/>
      <c r="AA32" s="8"/>
      <c r="AB32" s="8"/>
      <c r="AC32" s="8"/>
      <c r="AD32" s="8"/>
      <c r="AE32" s="8"/>
    </row>
    <row r="33" spans="1:31" ht="22.35" customHeight="1">
      <c r="A33" s="9" t="s">
        <v>157</v>
      </c>
      <c r="B33" s="9" t="s">
        <v>158</v>
      </c>
      <c r="C33" s="9" t="s">
        <v>141</v>
      </c>
      <c r="D33" s="9" t="s">
        <v>159</v>
      </c>
      <c r="E33" s="9" t="s">
        <v>160</v>
      </c>
      <c r="F33" s="9" t="s">
        <v>144</v>
      </c>
      <c r="G33" s="10">
        <v>46293</v>
      </c>
      <c r="H33" s="10">
        <v>46296</v>
      </c>
      <c r="I33" s="9">
        <f t="shared" si="0"/>
        <v>4</v>
      </c>
      <c r="J33" s="9" t="s">
        <v>153</v>
      </c>
      <c r="K33" s="9" t="s">
        <v>35</v>
      </c>
      <c r="L33" s="9" t="s">
        <v>36</v>
      </c>
      <c r="M33" s="11">
        <v>0</v>
      </c>
      <c r="N33" s="9" t="s">
        <v>42</v>
      </c>
      <c r="O33" s="9" t="s">
        <v>43</v>
      </c>
      <c r="P33" s="8"/>
      <c r="Q33" s="8"/>
      <c r="R33" s="8"/>
      <c r="S33" s="8"/>
      <c r="T33" s="8"/>
      <c r="U33" s="8"/>
      <c r="V33" s="8"/>
      <c r="W33" s="2"/>
      <c r="X33" s="2"/>
      <c r="Y33" s="8"/>
      <c r="Z33" s="8"/>
      <c r="AA33" s="8"/>
      <c r="AB33" s="8"/>
      <c r="AC33" s="8"/>
      <c r="AD33" s="8"/>
      <c r="AE33" s="8"/>
    </row>
    <row r="34" spans="1:31" ht="22.35" customHeight="1">
      <c r="A34" s="9" t="s">
        <v>161</v>
      </c>
      <c r="B34" s="9" t="s">
        <v>162</v>
      </c>
      <c r="C34" s="9" t="s">
        <v>141</v>
      </c>
      <c r="D34" s="9" t="s">
        <v>163</v>
      </c>
      <c r="E34" s="9" t="s">
        <v>164</v>
      </c>
      <c r="F34" s="9" t="s">
        <v>144</v>
      </c>
      <c r="G34" s="10">
        <v>46296</v>
      </c>
      <c r="H34" s="10">
        <v>46301</v>
      </c>
      <c r="I34" s="9">
        <f t="shared" si="0"/>
        <v>4</v>
      </c>
      <c r="J34" s="9" t="s">
        <v>157</v>
      </c>
      <c r="K34" s="9" t="s">
        <v>35</v>
      </c>
      <c r="L34" s="9" t="s">
        <v>36</v>
      </c>
      <c r="M34" s="11">
        <v>0</v>
      </c>
      <c r="N34" s="9" t="s">
        <v>42</v>
      </c>
      <c r="O34" s="9" t="s">
        <v>43</v>
      </c>
      <c r="P34" s="8"/>
      <c r="Q34" s="8"/>
      <c r="R34" s="8"/>
      <c r="S34" s="8"/>
      <c r="T34" s="8"/>
      <c r="U34" s="8"/>
      <c r="V34" s="8"/>
      <c r="W34" s="8"/>
      <c r="X34" s="2"/>
      <c r="Y34" s="8"/>
      <c r="Z34" s="8"/>
      <c r="AA34" s="8"/>
      <c r="AB34" s="8"/>
      <c r="AC34" s="8"/>
      <c r="AD34" s="8"/>
      <c r="AE34" s="8"/>
    </row>
    <row r="35" spans="1:31" ht="22.35" customHeight="1">
      <c r="A35" s="9" t="s">
        <v>165</v>
      </c>
      <c r="B35" s="9" t="s">
        <v>166</v>
      </c>
      <c r="C35" s="9" t="s">
        <v>141</v>
      </c>
      <c r="D35" s="9" t="s">
        <v>167</v>
      </c>
      <c r="E35" s="9" t="s">
        <v>168</v>
      </c>
      <c r="F35" s="9" t="s">
        <v>144</v>
      </c>
      <c r="G35" s="10">
        <v>46301</v>
      </c>
      <c r="H35" s="10">
        <v>46304</v>
      </c>
      <c r="I35" s="9">
        <f t="shared" si="0"/>
        <v>4</v>
      </c>
      <c r="J35" s="9" t="s">
        <v>161</v>
      </c>
      <c r="K35" s="9" t="s">
        <v>35</v>
      </c>
      <c r="L35" s="9" t="s">
        <v>36</v>
      </c>
      <c r="M35" s="11">
        <v>0</v>
      </c>
      <c r="N35" s="9" t="s">
        <v>42</v>
      </c>
      <c r="O35" s="9" t="s">
        <v>43</v>
      </c>
      <c r="P35" s="8"/>
      <c r="Q35" s="8"/>
      <c r="R35" s="8"/>
      <c r="S35" s="8"/>
      <c r="T35" s="8"/>
      <c r="U35" s="8"/>
      <c r="V35" s="8"/>
      <c r="W35" s="8"/>
      <c r="X35" s="2"/>
      <c r="Y35" s="2"/>
      <c r="Z35" s="8"/>
      <c r="AA35" s="8"/>
      <c r="AB35" s="8"/>
      <c r="AC35" s="8"/>
      <c r="AD35" s="8"/>
      <c r="AE35" s="8"/>
    </row>
    <row r="36" spans="1:31" ht="22.35" customHeight="1">
      <c r="A36" s="9" t="s">
        <v>169</v>
      </c>
      <c r="B36" s="9" t="s">
        <v>170</v>
      </c>
      <c r="C36" s="9" t="s">
        <v>141</v>
      </c>
      <c r="D36" s="9" t="s">
        <v>171</v>
      </c>
      <c r="E36" s="9" t="s">
        <v>172</v>
      </c>
      <c r="F36" s="9" t="s">
        <v>144</v>
      </c>
      <c r="G36" s="10">
        <v>46303</v>
      </c>
      <c r="H36" s="10">
        <v>46308</v>
      </c>
      <c r="I36" s="9">
        <f t="shared" si="0"/>
        <v>4</v>
      </c>
      <c r="J36" s="9" t="s">
        <v>165</v>
      </c>
      <c r="K36" s="9" t="s">
        <v>35</v>
      </c>
      <c r="L36" s="9" t="s">
        <v>36</v>
      </c>
      <c r="M36" s="11">
        <v>0</v>
      </c>
      <c r="N36" s="9" t="s">
        <v>42</v>
      </c>
      <c r="O36" s="9" t="s">
        <v>43</v>
      </c>
      <c r="P36" s="8"/>
      <c r="Q36" s="8"/>
      <c r="R36" s="8"/>
      <c r="S36" s="8"/>
      <c r="T36" s="8"/>
      <c r="U36" s="8"/>
      <c r="V36" s="8"/>
      <c r="W36" s="8"/>
      <c r="X36" s="8"/>
      <c r="Y36" s="2"/>
      <c r="Z36" s="8"/>
      <c r="AA36" s="8"/>
      <c r="AB36" s="8"/>
      <c r="AC36" s="8"/>
      <c r="AD36" s="8"/>
      <c r="AE36" s="8"/>
    </row>
    <row r="37" spans="1:31" ht="22.35" customHeight="1">
      <c r="A37" s="9" t="s">
        <v>173</v>
      </c>
      <c r="B37" s="9" t="s">
        <v>174</v>
      </c>
      <c r="C37" s="9" t="s">
        <v>141</v>
      </c>
      <c r="D37" s="9" t="s">
        <v>175</v>
      </c>
      <c r="E37" s="9" t="s">
        <v>176</v>
      </c>
      <c r="F37" s="9" t="s">
        <v>144</v>
      </c>
      <c r="G37" s="10">
        <v>46308</v>
      </c>
      <c r="H37" s="10">
        <v>46311</v>
      </c>
      <c r="I37" s="9">
        <f t="shared" ref="I37:I68" si="1">NETWORKDAYS(G37,H37)</f>
        <v>4</v>
      </c>
      <c r="J37" s="9" t="s">
        <v>169</v>
      </c>
      <c r="K37" s="9" t="s">
        <v>35</v>
      </c>
      <c r="L37" s="9" t="s">
        <v>36</v>
      </c>
      <c r="M37" s="11">
        <v>0</v>
      </c>
      <c r="N37" s="9" t="s">
        <v>42</v>
      </c>
      <c r="O37" s="9" t="s">
        <v>43</v>
      </c>
      <c r="P37" s="8"/>
      <c r="Q37" s="8"/>
      <c r="R37" s="8"/>
      <c r="S37" s="8"/>
      <c r="T37" s="8"/>
      <c r="U37" s="8"/>
      <c r="V37" s="8"/>
      <c r="W37" s="8"/>
      <c r="X37" s="8"/>
      <c r="Y37" s="2"/>
      <c r="Z37" s="2"/>
      <c r="AA37" s="8"/>
      <c r="AB37" s="8"/>
      <c r="AC37" s="8"/>
      <c r="AD37" s="8"/>
      <c r="AE37" s="8"/>
    </row>
    <row r="38" spans="1:31" ht="22.35" customHeight="1">
      <c r="A38" s="9" t="s">
        <v>177</v>
      </c>
      <c r="B38" s="9" t="s">
        <v>178</v>
      </c>
      <c r="C38" s="9" t="s">
        <v>141</v>
      </c>
      <c r="D38" s="9" t="s">
        <v>179</v>
      </c>
      <c r="E38" s="9" t="s">
        <v>180</v>
      </c>
      <c r="F38" s="9" t="s">
        <v>144</v>
      </c>
      <c r="G38" s="10">
        <v>46310</v>
      </c>
      <c r="H38" s="10">
        <v>46315</v>
      </c>
      <c r="I38" s="9">
        <f t="shared" si="1"/>
        <v>4</v>
      </c>
      <c r="J38" s="9" t="s">
        <v>173</v>
      </c>
      <c r="K38" s="9" t="s">
        <v>35</v>
      </c>
      <c r="L38" s="9" t="s">
        <v>36</v>
      </c>
      <c r="M38" s="11">
        <v>0</v>
      </c>
      <c r="N38" s="9" t="s">
        <v>42</v>
      </c>
      <c r="O38" s="9" t="s">
        <v>43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2"/>
      <c r="AA38" s="8"/>
      <c r="AB38" s="8"/>
      <c r="AC38" s="8"/>
      <c r="AD38" s="8"/>
      <c r="AE38" s="8"/>
    </row>
    <row r="39" spans="1:31" ht="22.35" customHeight="1">
      <c r="A39" s="9" t="s">
        <v>181</v>
      </c>
      <c r="B39" s="9" t="s">
        <v>182</v>
      </c>
      <c r="C39" s="9" t="s">
        <v>141</v>
      </c>
      <c r="D39" s="9" t="s">
        <v>183</v>
      </c>
      <c r="E39" s="9" t="s">
        <v>184</v>
      </c>
      <c r="F39" s="9" t="s">
        <v>144</v>
      </c>
      <c r="G39" s="10">
        <v>46315</v>
      </c>
      <c r="H39" s="10">
        <v>46318</v>
      </c>
      <c r="I39" s="9">
        <f t="shared" si="1"/>
        <v>4</v>
      </c>
      <c r="J39" s="9" t="s">
        <v>177</v>
      </c>
      <c r="K39" s="9" t="s">
        <v>35</v>
      </c>
      <c r="L39" s="9" t="s">
        <v>36</v>
      </c>
      <c r="M39" s="11">
        <v>0</v>
      </c>
      <c r="N39" s="9" t="s">
        <v>42</v>
      </c>
      <c r="O39" s="9" t="s">
        <v>43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2"/>
      <c r="AA39" s="2"/>
      <c r="AB39" s="8"/>
      <c r="AC39" s="8"/>
      <c r="AD39" s="8"/>
      <c r="AE39" s="8"/>
    </row>
    <row r="40" spans="1:31" ht="22.35" customHeight="1">
      <c r="A40" s="9" t="s">
        <v>185</v>
      </c>
      <c r="B40" s="9" t="s">
        <v>186</v>
      </c>
      <c r="C40" s="9" t="s">
        <v>187</v>
      </c>
      <c r="D40" s="9" t="s">
        <v>188</v>
      </c>
      <c r="E40" s="9" t="s">
        <v>189</v>
      </c>
      <c r="F40" s="9" t="s">
        <v>190</v>
      </c>
      <c r="G40" s="10">
        <v>46286</v>
      </c>
      <c r="H40" s="10">
        <v>46289</v>
      </c>
      <c r="I40" s="9">
        <f t="shared" si="1"/>
        <v>4</v>
      </c>
      <c r="J40" s="9" t="s">
        <v>181</v>
      </c>
      <c r="K40" s="9" t="s">
        <v>35</v>
      </c>
      <c r="L40" s="9" t="s">
        <v>36</v>
      </c>
      <c r="M40" s="11">
        <v>0</v>
      </c>
      <c r="N40" s="9" t="s">
        <v>42</v>
      </c>
      <c r="O40" s="9" t="s">
        <v>43</v>
      </c>
      <c r="P40" s="8"/>
      <c r="Q40" s="8"/>
      <c r="R40" s="8"/>
      <c r="S40" s="8"/>
      <c r="T40" s="8"/>
      <c r="U40" s="8"/>
      <c r="V40" s="2"/>
      <c r="W40" s="2"/>
      <c r="X40" s="8"/>
      <c r="Y40" s="8"/>
      <c r="Z40" s="8"/>
      <c r="AA40" s="8"/>
      <c r="AB40" s="8"/>
      <c r="AC40" s="8"/>
      <c r="AD40" s="8"/>
      <c r="AE40" s="8"/>
    </row>
    <row r="41" spans="1:31" ht="22.35" customHeight="1">
      <c r="A41" s="9" t="s">
        <v>191</v>
      </c>
      <c r="B41" s="9" t="s">
        <v>192</v>
      </c>
      <c r="C41" s="9" t="s">
        <v>187</v>
      </c>
      <c r="D41" s="9" t="s">
        <v>193</v>
      </c>
      <c r="E41" s="9" t="s">
        <v>194</v>
      </c>
      <c r="F41" s="9" t="s">
        <v>190</v>
      </c>
      <c r="G41" s="10">
        <v>46290</v>
      </c>
      <c r="H41" s="10">
        <v>46295</v>
      </c>
      <c r="I41" s="9">
        <f t="shared" si="1"/>
        <v>4</v>
      </c>
      <c r="J41" s="9" t="s">
        <v>185</v>
      </c>
      <c r="K41" s="9" t="s">
        <v>35</v>
      </c>
      <c r="L41" s="9" t="s">
        <v>36</v>
      </c>
      <c r="M41" s="11">
        <v>0</v>
      </c>
      <c r="N41" s="9" t="s">
        <v>42</v>
      </c>
      <c r="O41" s="9" t="s">
        <v>43</v>
      </c>
      <c r="P41" s="8"/>
      <c r="Q41" s="8"/>
      <c r="R41" s="8"/>
      <c r="S41" s="8"/>
      <c r="T41" s="8"/>
      <c r="U41" s="8"/>
      <c r="V41" s="8"/>
      <c r="W41" s="2"/>
      <c r="X41" s="8"/>
      <c r="Y41" s="8"/>
      <c r="Z41" s="8"/>
      <c r="AA41" s="8"/>
      <c r="AB41" s="8"/>
      <c r="AC41" s="8"/>
      <c r="AD41" s="8"/>
      <c r="AE41" s="8"/>
    </row>
    <row r="42" spans="1:31" ht="22.35" customHeight="1">
      <c r="A42" s="9" t="s">
        <v>195</v>
      </c>
      <c r="B42" s="9" t="s">
        <v>196</v>
      </c>
      <c r="C42" s="9" t="s">
        <v>187</v>
      </c>
      <c r="D42" s="9" t="s">
        <v>197</v>
      </c>
      <c r="E42" s="9" t="s">
        <v>198</v>
      </c>
      <c r="F42" s="9" t="s">
        <v>190</v>
      </c>
      <c r="G42" s="10">
        <v>46295</v>
      </c>
      <c r="H42" s="10">
        <v>46300</v>
      </c>
      <c r="I42" s="9">
        <f t="shared" si="1"/>
        <v>4</v>
      </c>
      <c r="J42" s="9" t="s">
        <v>191</v>
      </c>
      <c r="K42" s="9" t="s">
        <v>35</v>
      </c>
      <c r="L42" s="9" t="s">
        <v>36</v>
      </c>
      <c r="M42" s="11">
        <v>0</v>
      </c>
      <c r="N42" s="9" t="s">
        <v>42</v>
      </c>
      <c r="O42" s="9" t="s">
        <v>43</v>
      </c>
      <c r="P42" s="8"/>
      <c r="Q42" s="8"/>
      <c r="R42" s="8"/>
      <c r="S42" s="8"/>
      <c r="T42" s="8"/>
      <c r="U42" s="8"/>
      <c r="V42" s="8"/>
      <c r="W42" s="2"/>
      <c r="X42" s="2"/>
      <c r="Y42" s="8"/>
      <c r="Z42" s="8"/>
      <c r="AA42" s="8"/>
      <c r="AB42" s="8"/>
      <c r="AC42" s="8"/>
      <c r="AD42" s="8"/>
      <c r="AE42" s="8"/>
    </row>
    <row r="43" spans="1:31" ht="22.35" customHeight="1">
      <c r="A43" s="9" t="s">
        <v>199</v>
      </c>
      <c r="B43" s="9" t="s">
        <v>200</v>
      </c>
      <c r="C43" s="9" t="s">
        <v>187</v>
      </c>
      <c r="D43" s="9" t="s">
        <v>163</v>
      </c>
      <c r="E43" s="9" t="s">
        <v>164</v>
      </c>
      <c r="F43" s="9" t="s">
        <v>190</v>
      </c>
      <c r="G43" s="10">
        <v>46301</v>
      </c>
      <c r="H43" s="10">
        <v>46304</v>
      </c>
      <c r="I43" s="9">
        <f t="shared" si="1"/>
        <v>4</v>
      </c>
      <c r="J43" s="9" t="s">
        <v>195</v>
      </c>
      <c r="K43" s="9" t="s">
        <v>35</v>
      </c>
      <c r="L43" s="9" t="s">
        <v>36</v>
      </c>
      <c r="M43" s="11">
        <v>0</v>
      </c>
      <c r="N43" s="9" t="s">
        <v>42</v>
      </c>
      <c r="O43" s="9" t="s">
        <v>43</v>
      </c>
      <c r="P43" s="8"/>
      <c r="Q43" s="8"/>
      <c r="R43" s="8"/>
      <c r="S43" s="8"/>
      <c r="T43" s="8"/>
      <c r="U43" s="8"/>
      <c r="V43" s="8"/>
      <c r="W43" s="8"/>
      <c r="X43" s="2"/>
      <c r="Y43" s="2"/>
      <c r="Z43" s="8"/>
      <c r="AA43" s="8"/>
      <c r="AB43" s="8"/>
      <c r="AC43" s="8"/>
      <c r="AD43" s="8"/>
      <c r="AE43" s="8"/>
    </row>
    <row r="44" spans="1:31" ht="22.35" customHeight="1">
      <c r="A44" s="9" t="s">
        <v>201</v>
      </c>
      <c r="B44" s="9" t="s">
        <v>202</v>
      </c>
      <c r="C44" s="9" t="s">
        <v>187</v>
      </c>
      <c r="D44" s="9" t="s">
        <v>203</v>
      </c>
      <c r="E44" s="9" t="s">
        <v>204</v>
      </c>
      <c r="F44" s="9" t="s">
        <v>190</v>
      </c>
      <c r="G44" s="10">
        <v>46307</v>
      </c>
      <c r="H44" s="10">
        <v>46310</v>
      </c>
      <c r="I44" s="9">
        <f t="shared" si="1"/>
        <v>4</v>
      </c>
      <c r="J44" s="9" t="s">
        <v>199</v>
      </c>
      <c r="K44" s="9" t="s">
        <v>35</v>
      </c>
      <c r="L44" s="9" t="s">
        <v>36</v>
      </c>
      <c r="M44" s="11">
        <v>0</v>
      </c>
      <c r="N44" s="9" t="s">
        <v>42</v>
      </c>
      <c r="O44" s="9" t="s">
        <v>43</v>
      </c>
      <c r="P44" s="8"/>
      <c r="Q44" s="8"/>
      <c r="R44" s="8"/>
      <c r="S44" s="8"/>
      <c r="T44" s="8"/>
      <c r="U44" s="8"/>
      <c r="V44" s="8"/>
      <c r="W44" s="8"/>
      <c r="X44" s="8"/>
      <c r="Y44" s="2"/>
      <c r="Z44" s="2"/>
      <c r="AA44" s="8"/>
      <c r="AB44" s="8"/>
      <c r="AC44" s="8"/>
      <c r="AD44" s="8"/>
      <c r="AE44" s="8"/>
    </row>
    <row r="45" spans="1:31" ht="22.35" customHeight="1">
      <c r="A45" s="9" t="s">
        <v>205</v>
      </c>
      <c r="B45" s="9" t="s">
        <v>206</v>
      </c>
      <c r="C45" s="9" t="s">
        <v>187</v>
      </c>
      <c r="D45" s="9" t="s">
        <v>207</v>
      </c>
      <c r="E45" s="9" t="s">
        <v>208</v>
      </c>
      <c r="F45" s="9" t="s">
        <v>190</v>
      </c>
      <c r="G45" s="10">
        <v>46311</v>
      </c>
      <c r="H45" s="10">
        <v>46316</v>
      </c>
      <c r="I45" s="9">
        <f t="shared" si="1"/>
        <v>4</v>
      </c>
      <c r="J45" s="9" t="s">
        <v>201</v>
      </c>
      <c r="K45" s="9" t="s">
        <v>35</v>
      </c>
      <c r="L45" s="9" t="s">
        <v>36</v>
      </c>
      <c r="M45" s="11">
        <v>0</v>
      </c>
      <c r="N45" s="9" t="s">
        <v>42</v>
      </c>
      <c r="O45" s="9" t="s">
        <v>43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2"/>
      <c r="AA45" s="8"/>
      <c r="AB45" s="8"/>
      <c r="AC45" s="8"/>
      <c r="AD45" s="8"/>
      <c r="AE45" s="8"/>
    </row>
    <row r="46" spans="1:31" ht="22.35" customHeight="1">
      <c r="A46" s="9" t="s">
        <v>209</v>
      </c>
      <c r="B46" s="9" t="s">
        <v>210</v>
      </c>
      <c r="C46" s="9" t="s">
        <v>187</v>
      </c>
      <c r="D46" s="9" t="s">
        <v>211</v>
      </c>
      <c r="E46" s="9" t="s">
        <v>212</v>
      </c>
      <c r="F46" s="9" t="s">
        <v>190</v>
      </c>
      <c r="G46" s="10">
        <v>46316</v>
      </c>
      <c r="H46" s="10">
        <v>46321</v>
      </c>
      <c r="I46" s="9">
        <f t="shared" si="1"/>
        <v>4</v>
      </c>
      <c r="J46" s="9" t="s">
        <v>205</v>
      </c>
      <c r="K46" s="9" t="s">
        <v>35</v>
      </c>
      <c r="L46" s="9" t="s">
        <v>36</v>
      </c>
      <c r="M46" s="11">
        <v>0</v>
      </c>
      <c r="N46" s="9" t="s">
        <v>42</v>
      </c>
      <c r="O46" s="9" t="s">
        <v>43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2"/>
      <c r="AA46" s="2"/>
      <c r="AB46" s="8"/>
      <c r="AC46" s="8"/>
      <c r="AD46" s="8"/>
      <c r="AE46" s="8"/>
    </row>
    <row r="47" spans="1:31" ht="22.35" customHeight="1">
      <c r="A47" s="9" t="s">
        <v>213</v>
      </c>
      <c r="B47" s="9" t="s">
        <v>214</v>
      </c>
      <c r="C47" s="9" t="s">
        <v>187</v>
      </c>
      <c r="D47" s="9" t="s">
        <v>215</v>
      </c>
      <c r="E47" s="9" t="s">
        <v>216</v>
      </c>
      <c r="F47" s="9" t="s">
        <v>190</v>
      </c>
      <c r="G47" s="10">
        <v>46322</v>
      </c>
      <c r="H47" s="10">
        <v>46325</v>
      </c>
      <c r="I47" s="9">
        <f t="shared" si="1"/>
        <v>4</v>
      </c>
      <c r="J47" s="9" t="s">
        <v>209</v>
      </c>
      <c r="K47" s="9" t="s">
        <v>35</v>
      </c>
      <c r="L47" s="9" t="s">
        <v>36</v>
      </c>
      <c r="M47" s="11">
        <v>0</v>
      </c>
      <c r="N47" s="9" t="s">
        <v>42</v>
      </c>
      <c r="O47" s="9" t="s">
        <v>43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2"/>
      <c r="AB47" s="8"/>
      <c r="AC47" s="8"/>
      <c r="AD47" s="8"/>
      <c r="AE47" s="8"/>
    </row>
    <row r="48" spans="1:31" ht="22.35" customHeight="1">
      <c r="A48" s="9" t="s">
        <v>217</v>
      </c>
      <c r="B48" s="9" t="s">
        <v>218</v>
      </c>
      <c r="C48" s="9" t="s">
        <v>219</v>
      </c>
      <c r="D48" s="9" t="s">
        <v>220</v>
      </c>
      <c r="E48" s="9" t="s">
        <v>221</v>
      </c>
      <c r="F48" s="9" t="s">
        <v>222</v>
      </c>
      <c r="G48" s="10">
        <v>46286</v>
      </c>
      <c r="H48" s="10">
        <v>46289</v>
      </c>
      <c r="I48" s="9">
        <f t="shared" si="1"/>
        <v>4</v>
      </c>
      <c r="J48" s="9" t="s">
        <v>213</v>
      </c>
      <c r="K48" s="9" t="s">
        <v>35</v>
      </c>
      <c r="L48" s="9" t="s">
        <v>36</v>
      </c>
      <c r="M48" s="11">
        <v>0</v>
      </c>
      <c r="N48" s="9" t="s">
        <v>42</v>
      </c>
      <c r="O48" s="9" t="s">
        <v>43</v>
      </c>
      <c r="P48" s="8"/>
      <c r="Q48" s="8"/>
      <c r="R48" s="8"/>
      <c r="S48" s="8"/>
      <c r="T48" s="8"/>
      <c r="U48" s="8"/>
      <c r="V48" s="2"/>
      <c r="W48" s="2"/>
      <c r="X48" s="8"/>
      <c r="Y48" s="8"/>
      <c r="Z48" s="8"/>
      <c r="AA48" s="8"/>
      <c r="AB48" s="8"/>
      <c r="AC48" s="8"/>
      <c r="AD48" s="8"/>
      <c r="AE48" s="8"/>
    </row>
    <row r="49" spans="1:31" ht="22.35" customHeight="1">
      <c r="A49" s="9" t="s">
        <v>223</v>
      </c>
      <c r="B49" s="9" t="s">
        <v>224</v>
      </c>
      <c r="C49" s="9" t="s">
        <v>219</v>
      </c>
      <c r="D49" s="9" t="s">
        <v>225</v>
      </c>
      <c r="E49" s="9" t="s">
        <v>226</v>
      </c>
      <c r="F49" s="9" t="s">
        <v>222</v>
      </c>
      <c r="G49" s="10">
        <v>46289</v>
      </c>
      <c r="H49" s="10">
        <v>46294</v>
      </c>
      <c r="I49" s="9">
        <f t="shared" si="1"/>
        <v>4</v>
      </c>
      <c r="J49" s="9" t="s">
        <v>217</v>
      </c>
      <c r="K49" s="9" t="s">
        <v>35</v>
      </c>
      <c r="L49" s="9" t="s">
        <v>36</v>
      </c>
      <c r="M49" s="11">
        <v>0</v>
      </c>
      <c r="N49" s="9" t="s">
        <v>42</v>
      </c>
      <c r="O49" s="9" t="s">
        <v>43</v>
      </c>
      <c r="P49" s="8"/>
      <c r="Q49" s="8"/>
      <c r="R49" s="8"/>
      <c r="S49" s="8"/>
      <c r="T49" s="8"/>
      <c r="U49" s="8"/>
      <c r="V49" s="8"/>
      <c r="W49" s="2"/>
      <c r="X49" s="8"/>
      <c r="Y49" s="8"/>
      <c r="Z49" s="8"/>
      <c r="AA49" s="8"/>
      <c r="AB49" s="8"/>
      <c r="AC49" s="8"/>
      <c r="AD49" s="8"/>
      <c r="AE49" s="8"/>
    </row>
    <row r="50" spans="1:31" ht="22.35" customHeight="1">
      <c r="A50" s="9" t="s">
        <v>227</v>
      </c>
      <c r="B50" s="9" t="s">
        <v>228</v>
      </c>
      <c r="C50" s="9" t="s">
        <v>219</v>
      </c>
      <c r="D50" s="9" t="s">
        <v>229</v>
      </c>
      <c r="E50" s="9" t="s">
        <v>230</v>
      </c>
      <c r="F50" s="9" t="s">
        <v>222</v>
      </c>
      <c r="G50" s="10">
        <v>46294</v>
      </c>
      <c r="H50" s="10">
        <v>46297</v>
      </c>
      <c r="I50" s="9">
        <f t="shared" si="1"/>
        <v>4</v>
      </c>
      <c r="J50" s="9" t="s">
        <v>223</v>
      </c>
      <c r="K50" s="9" t="s">
        <v>35</v>
      </c>
      <c r="L50" s="9" t="s">
        <v>36</v>
      </c>
      <c r="M50" s="11">
        <v>0</v>
      </c>
      <c r="N50" s="9" t="s">
        <v>42</v>
      </c>
      <c r="O50" s="9" t="s">
        <v>43</v>
      </c>
      <c r="P50" s="8"/>
      <c r="Q50" s="8"/>
      <c r="R50" s="8"/>
      <c r="S50" s="8"/>
      <c r="T50" s="8"/>
      <c r="U50" s="8"/>
      <c r="V50" s="8"/>
      <c r="W50" s="2"/>
      <c r="X50" s="2"/>
      <c r="Y50" s="8"/>
      <c r="Z50" s="8"/>
      <c r="AA50" s="8"/>
      <c r="AB50" s="8"/>
      <c r="AC50" s="8"/>
      <c r="AD50" s="8"/>
      <c r="AE50" s="8"/>
    </row>
    <row r="51" spans="1:31" ht="22.35" customHeight="1">
      <c r="A51" s="9" t="s">
        <v>231</v>
      </c>
      <c r="B51" s="9" t="s">
        <v>232</v>
      </c>
      <c r="C51" s="9" t="s">
        <v>219</v>
      </c>
      <c r="D51" s="9" t="s">
        <v>233</v>
      </c>
      <c r="E51" s="9" t="s">
        <v>234</v>
      </c>
      <c r="F51" s="9" t="s">
        <v>222</v>
      </c>
      <c r="G51" s="10">
        <v>46300</v>
      </c>
      <c r="H51" s="10">
        <v>46303</v>
      </c>
      <c r="I51" s="9">
        <f t="shared" si="1"/>
        <v>4</v>
      </c>
      <c r="J51" s="9" t="s">
        <v>227</v>
      </c>
      <c r="K51" s="9" t="s">
        <v>35</v>
      </c>
      <c r="L51" s="9" t="s">
        <v>36</v>
      </c>
      <c r="M51" s="11">
        <v>0</v>
      </c>
      <c r="N51" s="9" t="s">
        <v>42</v>
      </c>
      <c r="O51" s="9" t="s">
        <v>43</v>
      </c>
      <c r="P51" s="8"/>
      <c r="Q51" s="8"/>
      <c r="R51" s="8"/>
      <c r="S51" s="8"/>
      <c r="T51" s="8"/>
      <c r="U51" s="8"/>
      <c r="V51" s="8"/>
      <c r="W51" s="8"/>
      <c r="X51" s="2"/>
      <c r="Y51" s="2"/>
      <c r="Z51" s="8"/>
      <c r="AA51" s="8"/>
      <c r="AB51" s="8"/>
      <c r="AC51" s="8"/>
      <c r="AD51" s="8"/>
      <c r="AE51" s="8"/>
    </row>
    <row r="52" spans="1:31" ht="22.35" customHeight="1">
      <c r="A52" s="9" t="s">
        <v>235</v>
      </c>
      <c r="B52" s="9" t="s">
        <v>236</v>
      </c>
      <c r="C52" s="9" t="s">
        <v>219</v>
      </c>
      <c r="D52" s="9" t="s">
        <v>237</v>
      </c>
      <c r="E52" s="9" t="s">
        <v>238</v>
      </c>
      <c r="F52" s="9" t="s">
        <v>222</v>
      </c>
      <c r="G52" s="10">
        <v>46303</v>
      </c>
      <c r="H52" s="10">
        <v>46308</v>
      </c>
      <c r="I52" s="9">
        <f t="shared" si="1"/>
        <v>4</v>
      </c>
      <c r="J52" s="9" t="s">
        <v>231</v>
      </c>
      <c r="K52" s="9" t="s">
        <v>35</v>
      </c>
      <c r="L52" s="9" t="s">
        <v>36</v>
      </c>
      <c r="M52" s="11">
        <v>0</v>
      </c>
      <c r="N52" s="9" t="s">
        <v>42</v>
      </c>
      <c r="O52" s="9" t="s">
        <v>43</v>
      </c>
      <c r="P52" s="8"/>
      <c r="Q52" s="8"/>
      <c r="R52" s="8"/>
      <c r="S52" s="8"/>
      <c r="T52" s="8"/>
      <c r="U52" s="8"/>
      <c r="V52" s="8"/>
      <c r="W52" s="8"/>
      <c r="X52" s="8"/>
      <c r="Y52" s="2"/>
      <c r="Z52" s="8"/>
      <c r="AA52" s="8"/>
      <c r="AB52" s="8"/>
      <c r="AC52" s="8"/>
      <c r="AD52" s="8"/>
      <c r="AE52" s="8"/>
    </row>
    <row r="53" spans="1:31" ht="22.35" customHeight="1">
      <c r="A53" s="9" t="s">
        <v>239</v>
      </c>
      <c r="B53" s="9" t="s">
        <v>240</v>
      </c>
      <c r="C53" s="9" t="s">
        <v>219</v>
      </c>
      <c r="D53" s="9" t="s">
        <v>241</v>
      </c>
      <c r="E53" s="9" t="s">
        <v>242</v>
      </c>
      <c r="F53" s="9" t="s">
        <v>222</v>
      </c>
      <c r="G53" s="10">
        <v>46308</v>
      </c>
      <c r="H53" s="10">
        <v>46311</v>
      </c>
      <c r="I53" s="9">
        <f t="shared" si="1"/>
        <v>4</v>
      </c>
      <c r="J53" s="9" t="s">
        <v>235</v>
      </c>
      <c r="K53" s="9" t="s">
        <v>35</v>
      </c>
      <c r="L53" s="9" t="s">
        <v>36</v>
      </c>
      <c r="M53" s="11">
        <v>0</v>
      </c>
      <c r="N53" s="9" t="s">
        <v>42</v>
      </c>
      <c r="O53" s="9" t="s">
        <v>43</v>
      </c>
      <c r="P53" s="8"/>
      <c r="Q53" s="8"/>
      <c r="R53" s="8"/>
      <c r="S53" s="8"/>
      <c r="T53" s="8"/>
      <c r="U53" s="8"/>
      <c r="V53" s="8"/>
      <c r="W53" s="8"/>
      <c r="X53" s="8"/>
      <c r="Y53" s="2"/>
      <c r="Z53" s="2"/>
      <c r="AA53" s="8"/>
      <c r="AB53" s="8"/>
      <c r="AC53" s="8"/>
      <c r="AD53" s="8"/>
      <c r="AE53" s="8"/>
    </row>
    <row r="54" spans="1:31" ht="22.35" customHeight="1">
      <c r="A54" s="9" t="s">
        <v>243</v>
      </c>
      <c r="B54" s="9" t="s">
        <v>244</v>
      </c>
      <c r="C54" s="9" t="s">
        <v>219</v>
      </c>
      <c r="D54" s="9" t="s">
        <v>245</v>
      </c>
      <c r="E54" s="9" t="s">
        <v>246</v>
      </c>
      <c r="F54" s="9" t="s">
        <v>222</v>
      </c>
      <c r="G54" s="10">
        <v>46314</v>
      </c>
      <c r="H54" s="10">
        <v>46317</v>
      </c>
      <c r="I54" s="9">
        <f t="shared" si="1"/>
        <v>4</v>
      </c>
      <c r="J54" s="9" t="s">
        <v>239</v>
      </c>
      <c r="K54" s="9" t="s">
        <v>35</v>
      </c>
      <c r="L54" s="9" t="s">
        <v>36</v>
      </c>
      <c r="M54" s="11">
        <v>0</v>
      </c>
      <c r="N54" s="9" t="s">
        <v>42</v>
      </c>
      <c r="O54" s="9" t="s">
        <v>43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2"/>
      <c r="AA54" s="2"/>
      <c r="AB54" s="8"/>
      <c r="AC54" s="8"/>
      <c r="AD54" s="8"/>
      <c r="AE54" s="8"/>
    </row>
    <row r="55" spans="1:31" ht="22.35" customHeight="1">
      <c r="A55" s="9" t="s">
        <v>247</v>
      </c>
      <c r="B55" s="9" t="s">
        <v>248</v>
      </c>
      <c r="C55" s="9" t="s">
        <v>219</v>
      </c>
      <c r="D55" s="9" t="s">
        <v>249</v>
      </c>
      <c r="E55" s="9" t="s">
        <v>250</v>
      </c>
      <c r="F55" s="9" t="s">
        <v>222</v>
      </c>
      <c r="G55" s="10">
        <v>46317</v>
      </c>
      <c r="H55" s="10">
        <v>46322</v>
      </c>
      <c r="I55" s="9">
        <f t="shared" si="1"/>
        <v>4</v>
      </c>
      <c r="J55" s="9" t="s">
        <v>243</v>
      </c>
      <c r="K55" s="9" t="s">
        <v>35</v>
      </c>
      <c r="L55" s="9" t="s">
        <v>36</v>
      </c>
      <c r="M55" s="11">
        <v>0</v>
      </c>
      <c r="N55" s="9" t="s">
        <v>42</v>
      </c>
      <c r="O55" s="9" t="s">
        <v>43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2"/>
      <c r="AB55" s="8"/>
      <c r="AC55" s="8"/>
      <c r="AD55" s="8"/>
      <c r="AE55" s="8"/>
    </row>
    <row r="56" spans="1:31" ht="22.35" customHeight="1">
      <c r="A56" s="9" t="s">
        <v>251</v>
      </c>
      <c r="B56" s="9" t="s">
        <v>252</v>
      </c>
      <c r="C56" s="9" t="s">
        <v>219</v>
      </c>
      <c r="D56" s="9" t="s">
        <v>253</v>
      </c>
      <c r="E56" s="9" t="s">
        <v>254</v>
      </c>
      <c r="F56" s="9" t="s">
        <v>222</v>
      </c>
      <c r="G56" s="10">
        <v>46322</v>
      </c>
      <c r="H56" s="10">
        <v>46325</v>
      </c>
      <c r="I56" s="9">
        <f t="shared" si="1"/>
        <v>4</v>
      </c>
      <c r="J56" s="9" t="s">
        <v>247</v>
      </c>
      <c r="K56" s="9" t="s">
        <v>35</v>
      </c>
      <c r="L56" s="9" t="s">
        <v>36</v>
      </c>
      <c r="M56" s="11">
        <v>0</v>
      </c>
      <c r="N56" s="9" t="s">
        <v>42</v>
      </c>
      <c r="O56" s="9" t="s">
        <v>43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2"/>
      <c r="AB56" s="8"/>
      <c r="AC56" s="8"/>
      <c r="AD56" s="8"/>
      <c r="AE56" s="8"/>
    </row>
    <row r="57" spans="1:31" ht="22.35" customHeight="1">
      <c r="A57" s="9" t="s">
        <v>255</v>
      </c>
      <c r="B57" s="9" t="s">
        <v>256</v>
      </c>
      <c r="C57" s="9" t="s">
        <v>257</v>
      </c>
      <c r="D57" s="9" t="s">
        <v>258</v>
      </c>
      <c r="E57" s="9" t="s">
        <v>259</v>
      </c>
      <c r="F57" s="9" t="s">
        <v>222</v>
      </c>
      <c r="G57" s="10">
        <v>46314</v>
      </c>
      <c r="H57" s="10">
        <v>46317</v>
      </c>
      <c r="I57" s="9">
        <f t="shared" si="1"/>
        <v>4</v>
      </c>
      <c r="J57" s="9" t="s">
        <v>251</v>
      </c>
      <c r="K57" s="9" t="s">
        <v>35</v>
      </c>
      <c r="L57" s="9" t="s">
        <v>36</v>
      </c>
      <c r="M57" s="11">
        <v>0</v>
      </c>
      <c r="N57" s="9" t="s">
        <v>42</v>
      </c>
      <c r="O57" s="9" t="s">
        <v>43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2"/>
      <c r="AA57" s="2"/>
      <c r="AB57" s="8"/>
      <c r="AC57" s="8"/>
      <c r="AD57" s="8"/>
      <c r="AE57" s="8"/>
    </row>
    <row r="58" spans="1:31" ht="22.35" customHeight="1">
      <c r="A58" s="9" t="s">
        <v>260</v>
      </c>
      <c r="B58" s="9" t="s">
        <v>261</v>
      </c>
      <c r="C58" s="9" t="s">
        <v>257</v>
      </c>
      <c r="D58" s="9" t="s">
        <v>262</v>
      </c>
      <c r="E58" s="9" t="s">
        <v>263</v>
      </c>
      <c r="F58" s="9" t="s">
        <v>222</v>
      </c>
      <c r="G58" s="10">
        <v>46317</v>
      </c>
      <c r="H58" s="10">
        <v>46322</v>
      </c>
      <c r="I58" s="9">
        <f t="shared" si="1"/>
        <v>4</v>
      </c>
      <c r="J58" s="9" t="s">
        <v>255</v>
      </c>
      <c r="K58" s="9" t="s">
        <v>35</v>
      </c>
      <c r="L58" s="9" t="s">
        <v>36</v>
      </c>
      <c r="M58" s="11">
        <v>0</v>
      </c>
      <c r="N58" s="9" t="s">
        <v>42</v>
      </c>
      <c r="O58" s="9" t="s">
        <v>43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2"/>
      <c r="AB58" s="8"/>
      <c r="AC58" s="8"/>
      <c r="AD58" s="8"/>
      <c r="AE58" s="8"/>
    </row>
    <row r="59" spans="1:31" ht="22.35" customHeight="1">
      <c r="A59" s="9" t="s">
        <v>264</v>
      </c>
      <c r="B59" s="9" t="s">
        <v>265</v>
      </c>
      <c r="C59" s="9" t="s">
        <v>257</v>
      </c>
      <c r="D59" s="9" t="s">
        <v>266</v>
      </c>
      <c r="E59" s="9" t="s">
        <v>267</v>
      </c>
      <c r="F59" s="9" t="s">
        <v>222</v>
      </c>
      <c r="G59" s="10">
        <v>46322</v>
      </c>
      <c r="H59" s="10">
        <v>46325</v>
      </c>
      <c r="I59" s="9">
        <f t="shared" si="1"/>
        <v>4</v>
      </c>
      <c r="J59" s="9" t="s">
        <v>260</v>
      </c>
      <c r="K59" s="9" t="s">
        <v>35</v>
      </c>
      <c r="L59" s="9" t="s">
        <v>36</v>
      </c>
      <c r="M59" s="11">
        <v>0</v>
      </c>
      <c r="N59" s="9" t="s">
        <v>42</v>
      </c>
      <c r="O59" s="9" t="s">
        <v>43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2"/>
      <c r="AB59" s="8"/>
      <c r="AC59" s="8"/>
      <c r="AD59" s="8"/>
      <c r="AE59" s="8"/>
    </row>
    <row r="60" spans="1:31" ht="22.35" customHeight="1">
      <c r="A60" s="9" t="s">
        <v>268</v>
      </c>
      <c r="B60" s="9" t="s">
        <v>269</v>
      </c>
      <c r="C60" s="9" t="s">
        <v>257</v>
      </c>
      <c r="D60" s="9" t="s">
        <v>270</v>
      </c>
      <c r="E60" s="9" t="s">
        <v>271</v>
      </c>
      <c r="F60" s="9" t="s">
        <v>222</v>
      </c>
      <c r="G60" s="10">
        <v>46328</v>
      </c>
      <c r="H60" s="10">
        <v>46331</v>
      </c>
      <c r="I60" s="9">
        <f t="shared" si="1"/>
        <v>4</v>
      </c>
      <c r="J60" s="9" t="s">
        <v>264</v>
      </c>
      <c r="K60" s="9" t="s">
        <v>35</v>
      </c>
      <c r="L60" s="9" t="s">
        <v>36</v>
      </c>
      <c r="M60" s="11">
        <v>0</v>
      </c>
      <c r="N60" s="9" t="s">
        <v>42</v>
      </c>
      <c r="O60" s="9" t="s">
        <v>43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2"/>
      <c r="AC60" s="8"/>
      <c r="AD60" s="8"/>
      <c r="AE60" s="8"/>
    </row>
    <row r="61" spans="1:31" ht="22.35" customHeight="1">
      <c r="A61" s="9" t="s">
        <v>272</v>
      </c>
      <c r="B61" s="9" t="s">
        <v>273</v>
      </c>
      <c r="C61" s="9" t="s">
        <v>257</v>
      </c>
      <c r="D61" s="9" t="s">
        <v>274</v>
      </c>
      <c r="E61" s="9" t="s">
        <v>275</v>
      </c>
      <c r="F61" s="9" t="s">
        <v>222</v>
      </c>
      <c r="G61" s="10">
        <v>46331</v>
      </c>
      <c r="H61" s="10">
        <v>46336</v>
      </c>
      <c r="I61" s="9">
        <f t="shared" si="1"/>
        <v>4</v>
      </c>
      <c r="J61" s="9" t="s">
        <v>268</v>
      </c>
      <c r="K61" s="9" t="s">
        <v>35</v>
      </c>
      <c r="L61" s="9" t="s">
        <v>36</v>
      </c>
      <c r="M61" s="11">
        <v>0</v>
      </c>
      <c r="N61" s="9" t="s">
        <v>42</v>
      </c>
      <c r="O61" s="9" t="s">
        <v>43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2"/>
      <c r="AC61" s="2"/>
      <c r="AD61" s="8"/>
      <c r="AE61" s="8"/>
    </row>
    <row r="62" spans="1:31" ht="22.35" customHeight="1">
      <c r="A62" s="9" t="s">
        <v>276</v>
      </c>
      <c r="B62" s="9" t="s">
        <v>277</v>
      </c>
      <c r="C62" s="9" t="s">
        <v>257</v>
      </c>
      <c r="D62" s="9" t="s">
        <v>278</v>
      </c>
      <c r="E62" s="9" t="s">
        <v>279</v>
      </c>
      <c r="F62" s="9" t="s">
        <v>222</v>
      </c>
      <c r="G62" s="10">
        <v>46336</v>
      </c>
      <c r="H62" s="10">
        <v>46339</v>
      </c>
      <c r="I62" s="9">
        <f t="shared" si="1"/>
        <v>4</v>
      </c>
      <c r="J62" s="9" t="s">
        <v>272</v>
      </c>
      <c r="K62" s="9" t="s">
        <v>35</v>
      </c>
      <c r="L62" s="9" t="s">
        <v>36</v>
      </c>
      <c r="M62" s="11">
        <v>0</v>
      </c>
      <c r="N62" s="9" t="s">
        <v>42</v>
      </c>
      <c r="O62" s="9" t="s">
        <v>43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2"/>
      <c r="AD62" s="8"/>
      <c r="AE62" s="8"/>
    </row>
    <row r="63" spans="1:31" ht="22.35" customHeight="1">
      <c r="A63" s="9" t="s">
        <v>280</v>
      </c>
      <c r="B63" s="9" t="s">
        <v>281</v>
      </c>
      <c r="C63" s="9" t="s">
        <v>282</v>
      </c>
      <c r="D63" s="9" t="s">
        <v>283</v>
      </c>
      <c r="E63" s="9" t="s">
        <v>284</v>
      </c>
      <c r="F63" s="9" t="s">
        <v>285</v>
      </c>
      <c r="G63" s="10">
        <v>46321</v>
      </c>
      <c r="H63" s="10">
        <v>46322</v>
      </c>
      <c r="I63" s="9">
        <f t="shared" si="1"/>
        <v>2</v>
      </c>
      <c r="J63" s="9" t="s">
        <v>276</v>
      </c>
      <c r="K63" s="9" t="s">
        <v>35</v>
      </c>
      <c r="L63" s="9" t="s">
        <v>36</v>
      </c>
      <c r="M63" s="11">
        <v>0</v>
      </c>
      <c r="N63" s="9" t="s">
        <v>42</v>
      </c>
      <c r="O63" s="9" t="s">
        <v>43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2"/>
      <c r="AB63" s="8"/>
      <c r="AC63" s="8"/>
      <c r="AD63" s="8"/>
      <c r="AE63" s="8"/>
    </row>
    <row r="64" spans="1:31" ht="22.35" customHeight="1">
      <c r="A64" s="9" t="s">
        <v>286</v>
      </c>
      <c r="B64" s="9" t="s">
        <v>287</v>
      </c>
      <c r="C64" s="9" t="s">
        <v>282</v>
      </c>
      <c r="D64" s="9" t="s">
        <v>288</v>
      </c>
      <c r="E64" s="9" t="s">
        <v>289</v>
      </c>
      <c r="F64" s="9" t="s">
        <v>285</v>
      </c>
      <c r="G64" s="10">
        <v>46329</v>
      </c>
      <c r="H64" s="10">
        <v>46330</v>
      </c>
      <c r="I64" s="9">
        <f t="shared" si="1"/>
        <v>2</v>
      </c>
      <c r="J64" s="9" t="s">
        <v>280</v>
      </c>
      <c r="K64" s="9" t="s">
        <v>35</v>
      </c>
      <c r="L64" s="9" t="s">
        <v>36</v>
      </c>
      <c r="M64" s="11">
        <v>0</v>
      </c>
      <c r="N64" s="9" t="s">
        <v>42</v>
      </c>
      <c r="O64" s="9" t="s">
        <v>43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2"/>
      <c r="AC64" s="8"/>
      <c r="AD64" s="8"/>
      <c r="AE64" s="8"/>
    </row>
    <row r="65" spans="1:31" ht="22.35" customHeight="1">
      <c r="A65" s="9" t="s">
        <v>290</v>
      </c>
      <c r="B65" s="9" t="s">
        <v>291</v>
      </c>
      <c r="C65" s="9" t="s">
        <v>282</v>
      </c>
      <c r="D65" s="9" t="s">
        <v>292</v>
      </c>
      <c r="E65" s="9" t="s">
        <v>293</v>
      </c>
      <c r="F65" s="9" t="s">
        <v>285</v>
      </c>
      <c r="G65" s="10">
        <v>46336</v>
      </c>
      <c r="H65" s="10">
        <v>46337</v>
      </c>
      <c r="I65" s="9">
        <f t="shared" si="1"/>
        <v>2</v>
      </c>
      <c r="J65" s="9" t="s">
        <v>286</v>
      </c>
      <c r="K65" s="9" t="s">
        <v>35</v>
      </c>
      <c r="L65" s="9" t="s">
        <v>36</v>
      </c>
      <c r="M65" s="11">
        <v>0</v>
      </c>
      <c r="N65" s="9" t="s">
        <v>42</v>
      </c>
      <c r="O65" s="9" t="s">
        <v>43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2"/>
      <c r="AD65" s="8"/>
      <c r="AE65" s="8"/>
    </row>
    <row r="66" spans="1:31" ht="22.35" customHeight="1">
      <c r="A66" s="9" t="s">
        <v>294</v>
      </c>
      <c r="B66" s="9" t="s">
        <v>295</v>
      </c>
      <c r="C66" s="9" t="s">
        <v>296</v>
      </c>
      <c r="D66" s="9" t="s">
        <v>297</v>
      </c>
      <c r="E66" s="9" t="s">
        <v>298</v>
      </c>
      <c r="F66" s="9" t="s">
        <v>299</v>
      </c>
      <c r="G66" s="10">
        <v>46314</v>
      </c>
      <c r="H66" s="10">
        <v>46315</v>
      </c>
      <c r="I66" s="9">
        <f t="shared" si="1"/>
        <v>2</v>
      </c>
      <c r="J66" s="9" t="s">
        <v>290</v>
      </c>
      <c r="K66" s="9" t="s">
        <v>35</v>
      </c>
      <c r="L66" s="9" t="s">
        <v>36</v>
      </c>
      <c r="M66" s="11">
        <v>0</v>
      </c>
      <c r="N66" s="9" t="s">
        <v>42</v>
      </c>
      <c r="O66" s="9" t="s">
        <v>43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3"/>
      <c r="AA66" s="8"/>
      <c r="AB66" s="8"/>
      <c r="AC66" s="8"/>
      <c r="AD66" s="8"/>
      <c r="AE66" s="8"/>
    </row>
    <row r="67" spans="1:31" ht="22.35" customHeight="1">
      <c r="A67" s="9" t="s">
        <v>300</v>
      </c>
      <c r="B67" s="9" t="s">
        <v>301</v>
      </c>
      <c r="C67" s="9" t="s">
        <v>296</v>
      </c>
      <c r="D67" s="9" t="s">
        <v>302</v>
      </c>
      <c r="E67" s="9" t="s">
        <v>303</v>
      </c>
      <c r="F67" s="9" t="s">
        <v>299</v>
      </c>
      <c r="G67" s="10">
        <v>46321</v>
      </c>
      <c r="H67" s="10">
        <v>46324</v>
      </c>
      <c r="I67" s="9">
        <f t="shared" si="1"/>
        <v>4</v>
      </c>
      <c r="J67" s="9" t="s">
        <v>294</v>
      </c>
      <c r="K67" s="9" t="s">
        <v>35</v>
      </c>
      <c r="L67" s="9" t="s">
        <v>36</v>
      </c>
      <c r="M67" s="11">
        <v>0</v>
      </c>
      <c r="N67" s="9" t="s">
        <v>42</v>
      </c>
      <c r="O67" s="9" t="s">
        <v>43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3"/>
      <c r="AB67" s="8"/>
      <c r="AC67" s="8"/>
      <c r="AD67" s="8"/>
      <c r="AE67" s="8"/>
    </row>
    <row r="68" spans="1:31" ht="22.35" customHeight="1">
      <c r="A68" s="9" t="s">
        <v>304</v>
      </c>
      <c r="B68" s="9" t="s">
        <v>305</v>
      </c>
      <c r="C68" s="9" t="s">
        <v>296</v>
      </c>
      <c r="D68" s="9" t="s">
        <v>306</v>
      </c>
      <c r="E68" s="9" t="s">
        <v>307</v>
      </c>
      <c r="F68" s="9" t="s">
        <v>299</v>
      </c>
      <c r="G68" s="10">
        <v>46328</v>
      </c>
      <c r="H68" s="10">
        <v>46331</v>
      </c>
      <c r="I68" s="9">
        <f t="shared" si="1"/>
        <v>4</v>
      </c>
      <c r="J68" s="9" t="s">
        <v>300</v>
      </c>
      <c r="K68" s="9" t="s">
        <v>35</v>
      </c>
      <c r="L68" s="9" t="s">
        <v>36</v>
      </c>
      <c r="M68" s="11">
        <v>0</v>
      </c>
      <c r="N68" s="9" t="s">
        <v>42</v>
      </c>
      <c r="O68" s="9" t="s">
        <v>43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3"/>
      <c r="AC68" s="8"/>
      <c r="AD68" s="8"/>
      <c r="AE68" s="8"/>
    </row>
    <row r="69" spans="1:31" ht="22.35" customHeight="1">
      <c r="A69" s="9" t="s">
        <v>308</v>
      </c>
      <c r="B69" s="9" t="s">
        <v>309</v>
      </c>
      <c r="C69" s="9" t="s">
        <v>296</v>
      </c>
      <c r="D69" s="9" t="s">
        <v>310</v>
      </c>
      <c r="E69" s="9" t="s">
        <v>311</v>
      </c>
      <c r="F69" s="9" t="s">
        <v>299</v>
      </c>
      <c r="G69" s="10">
        <v>46336</v>
      </c>
      <c r="H69" s="10">
        <v>46339</v>
      </c>
      <c r="I69" s="9">
        <f t="shared" ref="I69:I100" si="2">NETWORKDAYS(G69,H69)</f>
        <v>4</v>
      </c>
      <c r="J69" s="9" t="s">
        <v>304</v>
      </c>
      <c r="K69" s="9" t="s">
        <v>35</v>
      </c>
      <c r="L69" s="9" t="s">
        <v>36</v>
      </c>
      <c r="M69" s="11">
        <v>0</v>
      </c>
      <c r="N69" s="9" t="s">
        <v>42</v>
      </c>
      <c r="O69" s="9" t="s">
        <v>43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3"/>
      <c r="AD69" s="8"/>
      <c r="AE69" s="8"/>
    </row>
    <row r="70" spans="1:31" ht="22.35" customHeight="1">
      <c r="A70" s="9" t="s">
        <v>312</v>
      </c>
      <c r="B70" s="9" t="s">
        <v>313</v>
      </c>
      <c r="C70" s="9" t="s">
        <v>296</v>
      </c>
      <c r="D70" s="9" t="s">
        <v>314</v>
      </c>
      <c r="E70" s="9" t="s">
        <v>315</v>
      </c>
      <c r="F70" s="9" t="s">
        <v>299</v>
      </c>
      <c r="G70" s="10">
        <v>46343</v>
      </c>
      <c r="H70" s="10">
        <v>46346</v>
      </c>
      <c r="I70" s="9">
        <f t="shared" si="2"/>
        <v>4</v>
      </c>
      <c r="J70" s="9" t="s">
        <v>308</v>
      </c>
      <c r="K70" s="9" t="s">
        <v>35</v>
      </c>
      <c r="L70" s="9" t="s">
        <v>36</v>
      </c>
      <c r="M70" s="11">
        <v>0</v>
      </c>
      <c r="N70" s="9" t="s">
        <v>42</v>
      </c>
      <c r="O70" s="9" t="s">
        <v>43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3"/>
      <c r="AE70" s="8"/>
    </row>
    <row r="71" spans="1:31" ht="22.35" customHeight="1">
      <c r="A71" s="9" t="s">
        <v>316</v>
      </c>
      <c r="B71" s="9" t="s">
        <v>317</v>
      </c>
      <c r="C71" s="9" t="s">
        <v>318</v>
      </c>
      <c r="D71" s="9" t="s">
        <v>319</v>
      </c>
      <c r="E71" s="9" t="s">
        <v>320</v>
      </c>
      <c r="F71" s="9" t="s">
        <v>122</v>
      </c>
      <c r="G71" s="10">
        <v>46335</v>
      </c>
      <c r="H71" s="10">
        <v>46336</v>
      </c>
      <c r="I71" s="9">
        <f t="shared" si="2"/>
        <v>2</v>
      </c>
      <c r="J71" s="9" t="s">
        <v>312</v>
      </c>
      <c r="K71" s="9" t="s">
        <v>35</v>
      </c>
      <c r="L71" s="9" t="s">
        <v>36</v>
      </c>
      <c r="M71" s="11">
        <v>0</v>
      </c>
      <c r="N71" s="9" t="s">
        <v>42</v>
      </c>
      <c r="O71" s="9" t="s">
        <v>43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3"/>
      <c r="AD71" s="8"/>
      <c r="AE71" s="8"/>
    </row>
    <row r="72" spans="1:31" ht="22.35" customHeight="1">
      <c r="A72" s="9" t="s">
        <v>321</v>
      </c>
      <c r="B72" s="9" t="s">
        <v>322</v>
      </c>
      <c r="C72" s="9" t="s">
        <v>318</v>
      </c>
      <c r="D72" s="9" t="s">
        <v>323</v>
      </c>
      <c r="E72" s="9" t="s">
        <v>324</v>
      </c>
      <c r="F72" s="9" t="s">
        <v>122</v>
      </c>
      <c r="G72" s="10">
        <v>46343</v>
      </c>
      <c r="H72" s="10">
        <v>46346</v>
      </c>
      <c r="I72" s="9">
        <f t="shared" si="2"/>
        <v>4</v>
      </c>
      <c r="J72" s="9" t="s">
        <v>316</v>
      </c>
      <c r="K72" s="9" t="s">
        <v>35</v>
      </c>
      <c r="L72" s="9" t="s">
        <v>36</v>
      </c>
      <c r="M72" s="11">
        <v>0</v>
      </c>
      <c r="N72" s="9" t="s">
        <v>42</v>
      </c>
      <c r="O72" s="9" t="s">
        <v>43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3"/>
      <c r="AE72" s="8"/>
    </row>
    <row r="73" spans="1:31" ht="22.35" customHeight="1">
      <c r="A73" s="9" t="s">
        <v>325</v>
      </c>
      <c r="B73" s="9" t="s">
        <v>326</v>
      </c>
      <c r="C73" s="9" t="s">
        <v>327</v>
      </c>
      <c r="D73" s="9" t="s">
        <v>328</v>
      </c>
      <c r="E73" s="9" t="s">
        <v>329</v>
      </c>
      <c r="F73" s="9" t="s">
        <v>330</v>
      </c>
      <c r="G73" s="10">
        <v>46342</v>
      </c>
      <c r="H73" s="10">
        <v>46345</v>
      </c>
      <c r="I73" s="9">
        <f t="shared" si="2"/>
        <v>4</v>
      </c>
      <c r="J73" s="9" t="s">
        <v>321</v>
      </c>
      <c r="K73" s="9" t="s">
        <v>35</v>
      </c>
      <c r="L73" s="9" t="s">
        <v>36</v>
      </c>
      <c r="M73" s="11">
        <v>0</v>
      </c>
      <c r="N73" s="9" t="s">
        <v>42</v>
      </c>
      <c r="O73" s="9" t="s">
        <v>43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2"/>
      <c r="AE73" s="8"/>
    </row>
    <row r="74" spans="1:31" ht="22.35" customHeight="1">
      <c r="A74" s="9" t="s">
        <v>331</v>
      </c>
      <c r="B74" s="9" t="s">
        <v>332</v>
      </c>
      <c r="C74" s="9" t="s">
        <v>327</v>
      </c>
      <c r="D74" s="9" t="s">
        <v>333</v>
      </c>
      <c r="E74" s="9" t="s">
        <v>334</v>
      </c>
      <c r="F74" s="9" t="s">
        <v>330</v>
      </c>
      <c r="G74" s="10">
        <v>46344</v>
      </c>
      <c r="H74" s="10">
        <v>46345</v>
      </c>
      <c r="I74" s="9">
        <f t="shared" si="2"/>
        <v>2</v>
      </c>
      <c r="J74" s="9" t="s">
        <v>325</v>
      </c>
      <c r="K74" s="9" t="s">
        <v>35</v>
      </c>
      <c r="L74" s="9" t="s">
        <v>36</v>
      </c>
      <c r="M74" s="11">
        <v>0</v>
      </c>
      <c r="N74" s="9" t="s">
        <v>42</v>
      </c>
      <c r="O74" s="9" t="s">
        <v>43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2"/>
      <c r="AE74" s="8"/>
    </row>
    <row r="75" spans="1:31" ht="22.35" customHeight="1">
      <c r="A75" s="9" t="s">
        <v>335</v>
      </c>
      <c r="B75" s="9" t="s">
        <v>336</v>
      </c>
      <c r="C75" s="9" t="s">
        <v>327</v>
      </c>
      <c r="D75" s="9" t="s">
        <v>337</v>
      </c>
      <c r="E75" s="9" t="s">
        <v>338</v>
      </c>
      <c r="F75" s="9" t="s">
        <v>330</v>
      </c>
      <c r="G75" s="10">
        <v>46346</v>
      </c>
      <c r="H75" s="10">
        <v>46349</v>
      </c>
      <c r="I75" s="9">
        <f t="shared" si="2"/>
        <v>2</v>
      </c>
      <c r="J75" s="9" t="s">
        <v>331</v>
      </c>
      <c r="K75" s="9" t="s">
        <v>35</v>
      </c>
      <c r="L75" s="9" t="s">
        <v>36</v>
      </c>
      <c r="M75" s="11">
        <v>0</v>
      </c>
      <c r="N75" s="9" t="s">
        <v>42</v>
      </c>
      <c r="O75" s="9" t="s">
        <v>43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2"/>
      <c r="AE75" s="2"/>
    </row>
    <row r="76" spans="1:31" ht="22.35" customHeight="1">
      <c r="A76" s="9" t="s">
        <v>339</v>
      </c>
      <c r="B76" s="9" t="s">
        <v>340</v>
      </c>
      <c r="C76" s="9" t="s">
        <v>341</v>
      </c>
      <c r="D76" s="9" t="s">
        <v>342</v>
      </c>
      <c r="E76" s="9" t="s">
        <v>343</v>
      </c>
      <c r="F76" s="9" t="s">
        <v>344</v>
      </c>
      <c r="G76" s="10">
        <v>46335</v>
      </c>
      <c r="H76" s="10">
        <v>46336</v>
      </c>
      <c r="I76" s="9">
        <f t="shared" si="2"/>
        <v>2</v>
      </c>
      <c r="J76" s="9" t="s">
        <v>335</v>
      </c>
      <c r="K76" s="9" t="s">
        <v>345</v>
      </c>
      <c r="L76" s="9" t="s">
        <v>36</v>
      </c>
      <c r="M76" s="11">
        <v>0</v>
      </c>
      <c r="N76" s="9" t="s">
        <v>42</v>
      </c>
      <c r="O76" s="9" t="s">
        <v>43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1"/>
      <c r="AD76" s="8"/>
      <c r="AE76" s="8"/>
    </row>
    <row r="77" spans="1:31" ht="22.35" customHeight="1">
      <c r="A77" s="9" t="s">
        <v>346</v>
      </c>
      <c r="B77" s="9" t="s">
        <v>347</v>
      </c>
      <c r="C77" s="9" t="s">
        <v>341</v>
      </c>
      <c r="D77" s="9" t="s">
        <v>348</v>
      </c>
      <c r="E77" s="9" t="s">
        <v>349</v>
      </c>
      <c r="F77" s="9" t="s">
        <v>344</v>
      </c>
      <c r="G77" s="10">
        <v>46339</v>
      </c>
      <c r="H77" s="10">
        <v>46342</v>
      </c>
      <c r="I77" s="9">
        <f t="shared" si="2"/>
        <v>2</v>
      </c>
      <c r="J77" s="9" t="s">
        <v>339</v>
      </c>
      <c r="K77" s="9" t="s">
        <v>345</v>
      </c>
      <c r="L77" s="9" t="s">
        <v>36</v>
      </c>
      <c r="M77" s="11">
        <v>0</v>
      </c>
      <c r="N77" s="9" t="s">
        <v>42</v>
      </c>
      <c r="O77" s="9" t="s">
        <v>43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1"/>
      <c r="AD77" s="1"/>
      <c r="AE77" s="8"/>
    </row>
    <row r="78" spans="1:31" ht="22.35" customHeight="1">
      <c r="A78" s="9" t="s">
        <v>350</v>
      </c>
      <c r="B78" s="9" t="s">
        <v>351</v>
      </c>
      <c r="C78" s="9" t="s">
        <v>341</v>
      </c>
      <c r="D78" s="9" t="s">
        <v>352</v>
      </c>
      <c r="E78" s="9" t="s">
        <v>353</v>
      </c>
      <c r="F78" s="9" t="s">
        <v>344</v>
      </c>
      <c r="G78" s="10">
        <v>46346</v>
      </c>
      <c r="H78" s="10">
        <v>46349</v>
      </c>
      <c r="I78" s="9">
        <f t="shared" si="2"/>
        <v>2</v>
      </c>
      <c r="J78" s="9" t="s">
        <v>346</v>
      </c>
      <c r="K78" s="9" t="s">
        <v>345</v>
      </c>
      <c r="L78" s="9" t="s">
        <v>36</v>
      </c>
      <c r="M78" s="11">
        <v>0</v>
      </c>
      <c r="N78" s="9" t="s">
        <v>42</v>
      </c>
      <c r="O78" s="9" t="s">
        <v>43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1"/>
      <c r="AE78" s="1"/>
    </row>
    <row r="79" spans="1:31" ht="22.35" customHeight="1">
      <c r="A79" s="9" t="s">
        <v>354</v>
      </c>
      <c r="B79" s="9" t="s">
        <v>355</v>
      </c>
      <c r="C79" s="9" t="s">
        <v>356</v>
      </c>
      <c r="D79" s="9" t="s">
        <v>357</v>
      </c>
      <c r="E79" s="9" t="s">
        <v>358</v>
      </c>
      <c r="F79" s="9" t="s">
        <v>34</v>
      </c>
      <c r="G79" s="10">
        <v>46349</v>
      </c>
      <c r="H79" s="10">
        <v>46349</v>
      </c>
      <c r="I79" s="9">
        <f t="shared" si="2"/>
        <v>1</v>
      </c>
      <c r="J79" s="9" t="s">
        <v>350</v>
      </c>
      <c r="K79" s="9" t="s">
        <v>345</v>
      </c>
      <c r="L79" s="9" t="s">
        <v>36</v>
      </c>
      <c r="M79" s="11">
        <v>0</v>
      </c>
      <c r="N79" s="9" t="s">
        <v>24</v>
      </c>
      <c r="O79" s="9" t="s">
        <v>37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4"/>
    </row>
    <row r="80" spans="1:31" ht="22.35" customHeight="1">
      <c r="A80" s="9" t="s">
        <v>359</v>
      </c>
      <c r="B80" s="9" t="s">
        <v>360</v>
      </c>
      <c r="C80" s="9" t="s">
        <v>356</v>
      </c>
      <c r="D80" s="9" t="s">
        <v>361</v>
      </c>
      <c r="E80" s="9" t="s">
        <v>362</v>
      </c>
      <c r="F80" s="9" t="s">
        <v>34</v>
      </c>
      <c r="G80" s="10">
        <v>46351</v>
      </c>
      <c r="H80" s="10">
        <v>46351</v>
      </c>
      <c r="I80" s="9">
        <f t="shared" si="2"/>
        <v>1</v>
      </c>
      <c r="J80" s="9" t="s">
        <v>354</v>
      </c>
      <c r="K80" s="9" t="s">
        <v>345</v>
      </c>
      <c r="L80" s="9" t="s">
        <v>36</v>
      </c>
      <c r="M80" s="11">
        <v>0</v>
      </c>
      <c r="N80" s="9" t="s">
        <v>24</v>
      </c>
      <c r="O80" s="9" t="s">
        <v>37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4"/>
    </row>
  </sheetData>
  <mergeCells count="5">
    <mergeCell ref="A1:AE1"/>
    <mergeCell ref="P3:S3"/>
    <mergeCell ref="T3:W3"/>
    <mergeCell ref="X3:AA3"/>
    <mergeCell ref="AB3:AE3"/>
  </mergeCells>
  <conditionalFormatting sqref="L5:L80">
    <cfRule type="expression" dxfId="2" priority="1">
      <formula>L5="Concluída"</formula>
    </cfRule>
    <cfRule type="expression" dxfId="1" priority="2">
      <formula>L5="Atrasada"</formula>
    </cfRule>
    <cfRule type="expression" dxfId="0" priority="3">
      <formula>L5="Em andamento"</formula>
    </cfRule>
  </conditionalFormatting>
  <dataValidations count="3">
    <dataValidation type="list" sqref="K5:K80" xr:uid="{00000000-0002-0000-0000-000000000000}">
      <formula1>"Alta,Média,Baixa"</formula1>
    </dataValidation>
    <dataValidation type="list" sqref="L5:L80" xr:uid="{00000000-0002-0000-0000-000001000000}">
      <formula1>"Não iniciada,Em andamento,Concluída,Atrasada,Bloqueada"</formula1>
    </dataValidation>
    <dataValidation type="list" sqref="N5:N80" xr:uid="{00000000-0002-0000-0000-000002000000}">
      <formula1>"Atividade,Entrega,Marco"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3.8"/>
  <cols>
    <col min="1" max="1" width="24" customWidth="1"/>
    <col min="2" max="2" width="38" customWidth="1"/>
    <col min="3" max="3" width="24" customWidth="1"/>
    <col min="4" max="5" width="34" customWidth="1"/>
    <col min="6" max="6" width="24" customWidth="1"/>
  </cols>
  <sheetData>
    <row r="1" spans="1:6">
      <c r="A1" s="12" t="s">
        <v>10</v>
      </c>
      <c r="B1" s="12" t="s">
        <v>24</v>
      </c>
      <c r="C1" s="12" t="s">
        <v>363</v>
      </c>
      <c r="D1" s="12" t="s">
        <v>12</v>
      </c>
      <c r="E1" s="12" t="s">
        <v>364</v>
      </c>
      <c r="F1" s="12" t="s">
        <v>21</v>
      </c>
    </row>
    <row r="2" spans="1:6">
      <c r="A2" t="s">
        <v>29</v>
      </c>
      <c r="B2" t="s">
        <v>32</v>
      </c>
      <c r="C2" s="7">
        <v>46237</v>
      </c>
      <c r="D2" t="s">
        <v>31</v>
      </c>
      <c r="E2" t="s">
        <v>365</v>
      </c>
      <c r="F2" t="s">
        <v>36</v>
      </c>
    </row>
    <row r="3" spans="1:6">
      <c r="A3" t="s">
        <v>354</v>
      </c>
      <c r="B3" t="s">
        <v>357</v>
      </c>
      <c r="C3" s="7">
        <v>46349</v>
      </c>
      <c r="D3" t="s">
        <v>356</v>
      </c>
      <c r="E3" t="s">
        <v>366</v>
      </c>
      <c r="F3" t="s">
        <v>36</v>
      </c>
    </row>
    <row r="4" spans="1:6">
      <c r="A4" t="s">
        <v>359</v>
      </c>
      <c r="B4" t="s">
        <v>361</v>
      </c>
      <c r="C4" s="7">
        <v>46351</v>
      </c>
      <c r="D4" t="s">
        <v>356</v>
      </c>
      <c r="E4" t="s">
        <v>367</v>
      </c>
      <c r="F4" t="s">
        <v>36</v>
      </c>
    </row>
    <row r="5" spans="1:6">
      <c r="A5" t="s">
        <v>69</v>
      </c>
      <c r="B5" t="s">
        <v>72</v>
      </c>
      <c r="C5" s="7">
        <v>46245</v>
      </c>
      <c r="D5" t="s">
        <v>71</v>
      </c>
      <c r="E5" t="s">
        <v>368</v>
      </c>
      <c r="F5" t="s">
        <v>36</v>
      </c>
    </row>
    <row r="6" spans="1:6">
      <c r="A6" t="s">
        <v>113</v>
      </c>
      <c r="B6" t="s">
        <v>115</v>
      </c>
      <c r="C6" s="7">
        <v>46283</v>
      </c>
      <c r="D6" t="s">
        <v>93</v>
      </c>
      <c r="E6" t="s">
        <v>369</v>
      </c>
      <c r="F6" t="s">
        <v>36</v>
      </c>
    </row>
    <row r="7" spans="1:6">
      <c r="A7" t="s">
        <v>131</v>
      </c>
      <c r="B7" t="s">
        <v>133</v>
      </c>
      <c r="C7" s="7">
        <v>46275</v>
      </c>
      <c r="D7" t="s">
        <v>119</v>
      </c>
      <c r="E7" t="s">
        <v>370</v>
      </c>
      <c r="F7" t="s">
        <v>36</v>
      </c>
    </row>
    <row r="8" spans="1:6">
      <c r="A8" t="s">
        <v>181</v>
      </c>
      <c r="B8" t="s">
        <v>183</v>
      </c>
      <c r="C8" s="7">
        <v>46318</v>
      </c>
      <c r="D8" t="s">
        <v>141</v>
      </c>
      <c r="E8" t="s">
        <v>371</v>
      </c>
      <c r="F8" t="s">
        <v>36</v>
      </c>
    </row>
    <row r="9" spans="1:6">
      <c r="A9" t="s">
        <v>290</v>
      </c>
      <c r="B9" t="s">
        <v>292</v>
      </c>
      <c r="C9" s="7">
        <v>46337</v>
      </c>
      <c r="D9" t="s">
        <v>282</v>
      </c>
      <c r="E9" t="s">
        <v>372</v>
      </c>
      <c r="F9" t="s">
        <v>36</v>
      </c>
    </row>
    <row r="10" spans="1:6">
      <c r="A10" t="s">
        <v>312</v>
      </c>
      <c r="B10" t="s">
        <v>314</v>
      </c>
      <c r="C10" s="7">
        <v>46346</v>
      </c>
      <c r="D10" t="s">
        <v>296</v>
      </c>
      <c r="E10" t="s">
        <v>373</v>
      </c>
      <c r="F10" t="s">
        <v>36</v>
      </c>
    </row>
    <row r="11" spans="1:6">
      <c r="A11" t="s">
        <v>335</v>
      </c>
      <c r="B11" t="s">
        <v>337</v>
      </c>
      <c r="C11" s="7">
        <v>46349</v>
      </c>
      <c r="D11" t="s">
        <v>327</v>
      </c>
      <c r="E11" t="s">
        <v>374</v>
      </c>
      <c r="F1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3.8"/>
  <cols>
    <col min="1" max="2" width="26" customWidth="1"/>
    <col min="3" max="3" width="55" customWidth="1"/>
    <col min="4" max="4" width="26" customWidth="1"/>
  </cols>
  <sheetData>
    <row r="1" spans="1:4">
      <c r="A1" s="12" t="s">
        <v>15</v>
      </c>
      <c r="B1" s="12" t="s">
        <v>375</v>
      </c>
      <c r="C1" s="12" t="s">
        <v>376</v>
      </c>
      <c r="D1" s="12" t="s">
        <v>377</v>
      </c>
    </row>
    <row r="2" spans="1:4" ht="27.6">
      <c r="A2" s="9" t="s">
        <v>34</v>
      </c>
      <c r="B2" s="9">
        <v>10</v>
      </c>
      <c r="C2" s="9" t="s">
        <v>378</v>
      </c>
      <c r="D2" s="9" t="s">
        <v>35</v>
      </c>
    </row>
    <row r="3" spans="1:4" ht="27.6">
      <c r="A3" s="9" t="s">
        <v>74</v>
      </c>
      <c r="B3" s="9">
        <v>5</v>
      </c>
      <c r="C3" s="9" t="s">
        <v>379</v>
      </c>
      <c r="D3" s="9" t="s">
        <v>345</v>
      </c>
    </row>
    <row r="4" spans="1:4" ht="27.6">
      <c r="A4" s="9" t="s">
        <v>96</v>
      </c>
      <c r="B4" s="9">
        <v>6</v>
      </c>
      <c r="C4" s="9" t="s">
        <v>380</v>
      </c>
      <c r="D4" s="9" t="s">
        <v>345</v>
      </c>
    </row>
    <row r="5" spans="1:4" ht="27.6">
      <c r="A5" s="9" t="s">
        <v>122</v>
      </c>
      <c r="B5" s="9">
        <v>7</v>
      </c>
      <c r="C5" s="9" t="s">
        <v>381</v>
      </c>
      <c r="D5" s="9" t="s">
        <v>35</v>
      </c>
    </row>
    <row r="6" spans="1:4" ht="27.6">
      <c r="A6" s="9" t="s">
        <v>144</v>
      </c>
      <c r="B6" s="9">
        <v>11</v>
      </c>
      <c r="C6" s="9" t="s">
        <v>382</v>
      </c>
      <c r="D6" s="9" t="s">
        <v>35</v>
      </c>
    </row>
    <row r="7" spans="1:4" ht="27.6">
      <c r="A7" s="9" t="s">
        <v>190</v>
      </c>
      <c r="B7" s="9">
        <v>8</v>
      </c>
      <c r="C7" s="9" t="s">
        <v>383</v>
      </c>
      <c r="D7" s="9" t="s">
        <v>35</v>
      </c>
    </row>
    <row r="8" spans="1:4" ht="27.6">
      <c r="A8" s="9" t="s">
        <v>222</v>
      </c>
      <c r="B8" s="9">
        <v>15</v>
      </c>
      <c r="C8" s="9" t="s">
        <v>384</v>
      </c>
      <c r="D8" s="9" t="s">
        <v>35</v>
      </c>
    </row>
    <row r="9" spans="1:4" ht="27.6">
      <c r="A9" s="9" t="s">
        <v>285</v>
      </c>
      <c r="B9" s="9">
        <v>3</v>
      </c>
      <c r="C9" s="9" t="s">
        <v>385</v>
      </c>
      <c r="D9" s="9" t="s">
        <v>345</v>
      </c>
    </row>
    <row r="10" spans="1:4" ht="27.6">
      <c r="A10" s="9" t="s">
        <v>299</v>
      </c>
      <c r="B10" s="9">
        <v>5</v>
      </c>
      <c r="C10" s="9" t="s">
        <v>386</v>
      </c>
      <c r="D10" s="9" t="s">
        <v>345</v>
      </c>
    </row>
    <row r="11" spans="1:4" ht="27.6">
      <c r="A11" s="9" t="s">
        <v>330</v>
      </c>
      <c r="B11" s="9">
        <v>3</v>
      </c>
      <c r="C11" s="9" t="s">
        <v>387</v>
      </c>
      <c r="D11" s="9" t="s">
        <v>345</v>
      </c>
    </row>
    <row r="12" spans="1:4" ht="27.6">
      <c r="A12" s="9" t="s">
        <v>344</v>
      </c>
      <c r="B12" s="9">
        <v>3</v>
      </c>
      <c r="C12" s="9" t="s">
        <v>388</v>
      </c>
      <c r="D12" s="9" t="s">
        <v>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/>
  </sheetViews>
  <sheetFormatPr defaultRowHeight="13.8"/>
  <cols>
    <col min="1" max="2" width="34" customWidth="1"/>
    <col min="4" max="5" width="20" customWidth="1"/>
  </cols>
  <sheetData>
    <row r="1" spans="1:8" ht="21">
      <c r="A1" s="14" t="s">
        <v>389</v>
      </c>
      <c r="B1" s="14"/>
      <c r="C1" s="14"/>
      <c r="D1" s="14"/>
      <c r="E1" s="14"/>
      <c r="F1" s="14"/>
      <c r="G1" s="14"/>
      <c r="H1" s="14"/>
    </row>
    <row r="3" spans="1:8">
      <c r="A3" s="5" t="s">
        <v>390</v>
      </c>
      <c r="B3" s="5" t="s">
        <v>391</v>
      </c>
      <c r="D3" s="5" t="s">
        <v>21</v>
      </c>
      <c r="E3" s="5" t="s">
        <v>392</v>
      </c>
    </row>
    <row r="4" spans="1:8">
      <c r="A4" t="s">
        <v>393</v>
      </c>
      <c r="B4" t="s">
        <v>394</v>
      </c>
      <c r="D4" t="s">
        <v>36</v>
      </c>
      <c r="E4">
        <v>76</v>
      </c>
    </row>
    <row r="5" spans="1:8">
      <c r="A5" t="s">
        <v>395</v>
      </c>
      <c r="B5" t="s">
        <v>396</v>
      </c>
      <c r="D5" t="s">
        <v>397</v>
      </c>
      <c r="E5">
        <v>0</v>
      </c>
    </row>
    <row r="6" spans="1:8">
      <c r="A6" t="s">
        <v>398</v>
      </c>
      <c r="B6">
        <v>76</v>
      </c>
      <c r="D6" t="s">
        <v>399</v>
      </c>
      <c r="E6">
        <v>0</v>
      </c>
    </row>
    <row r="7" spans="1:8">
      <c r="A7" t="s">
        <v>400</v>
      </c>
      <c r="B7">
        <v>15</v>
      </c>
      <c r="D7" t="s">
        <v>401</v>
      </c>
      <c r="E7">
        <v>0</v>
      </c>
    </row>
    <row r="8" spans="1:8">
      <c r="A8" t="s">
        <v>402</v>
      </c>
      <c r="B8">
        <v>10</v>
      </c>
      <c r="D8" t="s">
        <v>403</v>
      </c>
      <c r="E8">
        <v>0</v>
      </c>
    </row>
    <row r="9" spans="1:8">
      <c r="A9" t="s">
        <v>404</v>
      </c>
      <c r="B9" s="7">
        <v>46237</v>
      </c>
    </row>
    <row r="10" spans="1:8">
      <c r="A10" t="s">
        <v>405</v>
      </c>
      <c r="B10" s="7">
        <v>46351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CRONOGRAMA</vt:lpstr>
      <vt:lpstr>MARCOS</vt:lpstr>
      <vt:lpstr>RESPONSÁVEIS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Isadora Zanardo</cp:lastModifiedBy>
  <dcterms:modified xsi:type="dcterms:W3CDTF">2026-09-24T00:45:29Z</dcterms:modified>
</cp:coreProperties>
</file>